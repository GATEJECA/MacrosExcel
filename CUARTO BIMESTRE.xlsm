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345" windowHeight="4650" activeTab="2"/>
  </bookViews>
  <sheets>
    <sheet name="1° C" sheetId="1" r:id="rId1"/>
    <sheet name="1° D" sheetId="2" r:id="rId2"/>
    <sheet name="1° E" sheetId="3" r:id="rId3"/>
    <sheet name="3° C" sheetId="4" r:id="rId4"/>
    <sheet name="3° D" sheetId="5" r:id="rId5"/>
  </sheets>
  <calcPr calcId="145621"/>
</workbook>
</file>

<file path=xl/calcChain.xml><?xml version="1.0" encoding="utf-8"?>
<calcChain xmlns="http://schemas.openxmlformats.org/spreadsheetml/2006/main">
  <c r="J4" i="5" l="1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3" i="5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3" i="4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3" i="3"/>
  <c r="S55" i="3"/>
  <c r="S56" i="3"/>
  <c r="S57" i="3"/>
  <c r="S58" i="3"/>
  <c r="S59" i="3"/>
  <c r="S60" i="3"/>
  <c r="S61" i="3"/>
  <c r="S62" i="3"/>
  <c r="S55" i="4"/>
  <c r="S56" i="4"/>
  <c r="L62" i="3" l="1"/>
  <c r="L61" i="3"/>
  <c r="S54" i="3"/>
  <c r="L54" i="3"/>
  <c r="S53" i="3"/>
  <c r="L53" i="3"/>
  <c r="S52" i="3"/>
  <c r="L52" i="3"/>
  <c r="S51" i="3"/>
  <c r="L51" i="3"/>
  <c r="S50" i="3"/>
  <c r="L50" i="3"/>
  <c r="S49" i="3"/>
  <c r="L49" i="3"/>
  <c r="S48" i="3"/>
  <c r="L48" i="3"/>
  <c r="S47" i="3"/>
  <c r="L47" i="3"/>
  <c r="S46" i="3"/>
  <c r="L46" i="3"/>
  <c r="S45" i="3"/>
  <c r="L45" i="3"/>
  <c r="S44" i="3"/>
  <c r="L44" i="3"/>
  <c r="S43" i="3"/>
  <c r="L43" i="3"/>
  <c r="S42" i="3"/>
  <c r="L42" i="3"/>
  <c r="S41" i="3"/>
  <c r="L41" i="3"/>
  <c r="S40" i="3"/>
  <c r="L40" i="3"/>
  <c r="S39" i="3"/>
  <c r="L39" i="3"/>
  <c r="S38" i="3"/>
  <c r="L38" i="3"/>
  <c r="S37" i="3"/>
  <c r="L37" i="3"/>
  <c r="S36" i="3"/>
  <c r="L36" i="3"/>
  <c r="S35" i="3"/>
  <c r="L35" i="3"/>
  <c r="S34" i="3"/>
  <c r="L34" i="3"/>
  <c r="S33" i="3"/>
  <c r="L33" i="3"/>
  <c r="S32" i="3"/>
  <c r="L32" i="3"/>
  <c r="S31" i="3"/>
  <c r="L31" i="3"/>
  <c r="S30" i="3"/>
  <c r="L30" i="3"/>
  <c r="S29" i="3"/>
  <c r="L29" i="3"/>
  <c r="S28" i="3"/>
  <c r="L28" i="3"/>
  <c r="S27" i="3"/>
  <c r="L27" i="3"/>
  <c r="S26" i="3"/>
  <c r="L26" i="3"/>
  <c r="S25" i="3"/>
  <c r="L25" i="3"/>
  <c r="S24" i="3"/>
  <c r="L24" i="3"/>
  <c r="S23" i="3"/>
  <c r="L23" i="3"/>
  <c r="S22" i="3"/>
  <c r="L22" i="3"/>
  <c r="S21" i="3"/>
  <c r="L21" i="3"/>
  <c r="S20" i="3"/>
  <c r="L20" i="3"/>
  <c r="S19" i="3"/>
  <c r="L19" i="3"/>
  <c r="S18" i="3"/>
  <c r="L18" i="3"/>
  <c r="S17" i="3"/>
  <c r="L17" i="3"/>
  <c r="S16" i="3"/>
  <c r="L16" i="3"/>
  <c r="S15" i="3"/>
  <c r="L15" i="3"/>
  <c r="S14" i="3"/>
  <c r="L14" i="3"/>
  <c r="S13" i="3"/>
  <c r="L13" i="3"/>
  <c r="S12" i="3"/>
  <c r="L12" i="3"/>
  <c r="S11" i="3"/>
  <c r="L11" i="3"/>
  <c r="S10" i="3"/>
  <c r="L10" i="3"/>
  <c r="S9" i="3"/>
  <c r="L9" i="3"/>
  <c r="S8" i="3"/>
  <c r="L8" i="3"/>
  <c r="S7" i="3"/>
  <c r="L7" i="3"/>
  <c r="S6" i="3"/>
  <c r="L6" i="3"/>
  <c r="S5" i="3"/>
  <c r="L5" i="3"/>
  <c r="S4" i="3"/>
  <c r="L4" i="3"/>
  <c r="S3" i="3"/>
  <c r="L3" i="3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3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3" i="5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3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4" i="2"/>
  <c r="K5" i="2"/>
  <c r="K3" i="2"/>
  <c r="L55" i="3" l="1"/>
  <c r="L56" i="3"/>
  <c r="L57" i="3"/>
  <c r="L58" i="3"/>
  <c r="L59" i="3"/>
  <c r="L60" i="3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3" i="1"/>
</calcChain>
</file>

<file path=xl/sharedStrings.xml><?xml version="1.0" encoding="utf-8"?>
<sst xmlns="http://schemas.openxmlformats.org/spreadsheetml/2006/main" count="634" uniqueCount="487">
  <si>
    <t>SUB</t>
  </si>
  <si>
    <t>AGUILAR ARZATE SAMANTHA TAIRI</t>
  </si>
  <si>
    <t>AGUSTIN NEQUIZ JUAN MANUEL</t>
  </si>
  <si>
    <t>ALBINEZ GUERRERO YAEL</t>
  </si>
  <si>
    <t>ALFARO GARCIA KITZIA DANIELA</t>
  </si>
  <si>
    <t>ALVAREZ VENTURA LIZETH MARLENE</t>
  </si>
  <si>
    <t>ALVAREZ VILLALVA DIEGO</t>
  </si>
  <si>
    <t>ARRIETA BUENDIA DULCE PAOLA</t>
  </si>
  <si>
    <t>ARRIETA CORNEJO ALIN</t>
  </si>
  <si>
    <t>BALTAZAR RENTERÍA WENDY JAZMIN</t>
  </si>
  <si>
    <t>BARRAGAN NAVARRO LILIA SNEYDETH</t>
  </si>
  <si>
    <t>BOBADILLA CAMPOS ROBERTO ARMANDO</t>
  </si>
  <si>
    <t>CALIXTO SOTO ISRAEL</t>
  </si>
  <si>
    <t>CARVENTE ROBLES BRENDA VIANEY</t>
  </si>
  <si>
    <t>CASTRO REYES MARIO ERICK</t>
  </si>
  <si>
    <t>DEDILLO VALENCIA GERARDO YOALLI</t>
  </si>
  <si>
    <t>CENTENO LUNA KARLA VANESSA</t>
  </si>
  <si>
    <t>CHAVEZ GONZALEZ ANA KEREN</t>
  </si>
  <si>
    <t>CISNEROS AGUILAR DIDIETH</t>
  </si>
  <si>
    <t>FUENTES ENCINO LUIS ANGEL</t>
  </si>
  <si>
    <t>GALVAN HERNANDEZ JOSE DE JESUS</t>
  </si>
  <si>
    <t>GARCIA ANSELMO JOSE EMMANUEL</t>
  </si>
  <si>
    <t>GOMEZ GONZALEZ CARLOS RAYMUNDO</t>
  </si>
  <si>
    <t>GONZALEZ AGUIRRE JUAN SALVADOR</t>
  </si>
  <si>
    <t>GONZALEZ CEREZO MIGUEL ANGEL</t>
  </si>
  <si>
    <t>GONZALEZ VEGA JACOB</t>
  </si>
  <si>
    <t>HERNANDEZ BUENDIA ANGEL EMMANUEL</t>
  </si>
  <si>
    <t>HERNANDEZ GALAN BRAYAN BERNARDO</t>
  </si>
  <si>
    <t>HERNANDEZ SAYAGO ARMANDO</t>
  </si>
  <si>
    <t>ISLAS SALDAÑA GEOVANNA GUADALUPE</t>
  </si>
  <si>
    <t>JIMENEZ RODRIGUEZ SHAROON JACQUELINE</t>
  </si>
  <si>
    <t>JUAREZ CALIXTO ALAN JOSEPH</t>
  </si>
  <si>
    <t>LAVADORES PINA BRANDON</t>
  </si>
  <si>
    <t>LOPEZ ESPINAL ERICK YAHIR</t>
  </si>
  <si>
    <t>LOPEZ MONDRAGON JUAN CARLOS</t>
  </si>
  <si>
    <t>MENDEZ CORONADO ERICK GERARDO</t>
  </si>
  <si>
    <t>MORALES ESTRADA EDUARDO</t>
  </si>
  <si>
    <t>NUÑEZ BUENDIA MARIANA</t>
  </si>
  <si>
    <t>RAMIREZ GONZALEZ JOSE EDUARDO</t>
  </si>
  <si>
    <t>RANGEL SANCHEZ ALONDRA CECILIA</t>
  </si>
  <si>
    <t>RIVERA PEREZ LESLY LAURA</t>
  </si>
  <si>
    <t>RIVERA SERNA ALAN SALVADOR</t>
  </si>
  <si>
    <t>SAI-AZAR RAMIREZ LOURDES MARIA</t>
  </si>
  <si>
    <t>SANCHEZ ROSALES LIZETH</t>
  </si>
  <si>
    <t>SANTILLAN TORRALBA MEILY ELIZABETH</t>
  </si>
  <si>
    <t>SILVA HERNANDEZ KEVIN</t>
  </si>
  <si>
    <t>TORRES RODRIGUEZ AXEL MOISES</t>
  </si>
  <si>
    <t>TREJO CANALES IVAN MOISES</t>
  </si>
  <si>
    <t>VALENCIA HERNANDEZ ANA KARINA</t>
  </si>
  <si>
    <t>VALENTINO ESTRADA MEUSSA HAIDEE</t>
  </si>
  <si>
    <t>VICTORIANO GARCIA FRANCISCO ARMANDO</t>
  </si>
  <si>
    <t>ZAMORANO LOPEZ ESTEFANIA</t>
  </si>
  <si>
    <t>H</t>
  </si>
  <si>
    <t>M</t>
  </si>
  <si>
    <t>NOMBRE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</si>
  <si>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</si>
  <si>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</si>
  <si>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</si>
  <si>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</si>
  <si>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</si>
  <si>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</si>
  <si>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</si>
  <si>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</si>
  <si>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</si>
  <si>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</si>
  <si>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</si>
  <si>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</si>
  <si>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</si>
  <si>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</si>
  <si>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</si>
  <si>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</si>
  <si>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</si>
  <si>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</si>
  <si>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</si>
  <si>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</si>
  <si>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</si>
  <si>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</si>
  <si>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</si>
  <si>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</si>
  <si>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</si>
  <si>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</si>
  <si>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</si>
  <si>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</si>
  <si>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</si>
  <si>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</si>
  <si>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</si>
  <si>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</si>
  <si>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</si>
  <si>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</si>
  <si>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</si>
  <si>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</si>
  <si>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</si>
  <si>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</si>
  <si>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4Q</t>
  </si>
  <si>
    <t>4 I</t>
  </si>
  <si>
    <t>42</t>
  </si>
  <si>
    <t>43</t>
  </si>
  <si>
    <t>44</t>
  </si>
  <si>
    <t>45</t>
  </si>
  <si>
    <t>46</t>
  </si>
  <si>
    <t>47</t>
  </si>
  <si>
    <t>48</t>
  </si>
  <si>
    <t>49</t>
  </si>
  <si>
    <t>60</t>
  </si>
  <si>
    <t>51</t>
  </si>
  <si>
    <t>52</t>
  </si>
  <si>
    <t>63</t>
  </si>
  <si>
    <t>54</t>
  </si>
  <si>
    <t>55</t>
  </si>
  <si>
    <t>56</t>
  </si>
  <si>
    <t>57</t>
  </si>
  <si>
    <t>1</t>
  </si>
  <si>
    <t>1° EX.</t>
  </si>
  <si>
    <t>2° EX.</t>
  </si>
  <si>
    <t>CABALLERO CRUZ CESAR OMAR</t>
  </si>
  <si>
    <t>MENDOZA ALFARO DIFGO OCTAVIO</t>
  </si>
  <si>
    <t>JCHOA ESTEBAN MIRIAM</t>
  </si>
  <si>
    <t>PAEZ RODRIGUEZ LANI ESMERALDA</t>
  </si>
  <si>
    <t>TELLEZ BAUTISTA ITZEL ANDREA</t>
  </si>
  <si>
    <t>SAMPAYO AMADOR ANAI</t>
  </si>
  <si>
    <r>
      <rPr>
        <sz val="7"/>
        <rFont val="Arial"/>
        <family val="2"/>
      </rPr>
      <t>H</t>
    </r>
  </si>
  <si>
    <r>
      <rPr>
        <sz val="7"/>
        <rFont val="Arial"/>
        <family val="2"/>
      </rPr>
      <t>M</t>
    </r>
  </si>
  <si>
    <r>
      <rPr>
        <sz val="7"/>
        <rFont val="Arial"/>
        <family val="2"/>
      </rPr>
      <t>NOMBRE</t>
    </r>
  </si>
  <si>
    <r>
      <rPr>
        <sz val="7"/>
        <rFont val="Arial"/>
        <family val="2"/>
      </rPr>
      <t>1</t>
    </r>
  </si>
  <si>
    <r>
      <rPr>
        <sz val="7"/>
        <rFont val="Arial"/>
        <family val="2"/>
      </rPr>
      <t>ALEJO SILES CARLOS</t>
    </r>
  </si>
  <si>
    <r>
      <rPr>
        <sz val="7"/>
        <rFont val="Arial"/>
        <family val="2"/>
      </rPr>
      <t>2</t>
    </r>
  </si>
  <si>
    <r>
      <rPr>
        <sz val="7"/>
        <rFont val="Arial"/>
        <family val="2"/>
      </rPr>
      <t>ALFARO FLORES ZURIEL</t>
    </r>
  </si>
  <si>
    <r>
      <rPr>
        <sz val="7"/>
        <rFont val="Arial"/>
        <family val="2"/>
      </rPr>
      <t>3</t>
    </r>
  </si>
  <si>
    <r>
      <rPr>
        <sz val="7"/>
        <rFont val="Arial"/>
        <family val="2"/>
      </rPr>
      <t>ALMEIDA ALFARO AMERICA MONTSERRATH</t>
    </r>
  </si>
  <si>
    <r>
      <rPr>
        <sz val="7"/>
        <rFont val="Arial"/>
        <family val="2"/>
      </rPr>
      <t>4</t>
    </r>
  </si>
  <si>
    <r>
      <rPr>
        <sz val="7"/>
        <rFont val="Arial"/>
        <family val="2"/>
      </rPr>
      <t>ALPIDE REYES DANIELA</t>
    </r>
  </si>
  <si>
    <r>
      <rPr>
        <sz val="7"/>
        <rFont val="Arial"/>
        <family val="2"/>
      </rPr>
      <t>5</t>
    </r>
  </si>
  <si>
    <r>
      <rPr>
        <sz val="7"/>
        <rFont val="Arial"/>
        <family val="2"/>
      </rPr>
      <t>ALVARADO HERNANDEZ ABRIL ESMERALDA</t>
    </r>
  </si>
  <si>
    <r>
      <rPr>
        <sz val="7"/>
        <rFont val="Arial"/>
        <family val="2"/>
      </rPr>
      <t>6</t>
    </r>
  </si>
  <si>
    <r>
      <rPr>
        <sz val="7"/>
        <rFont val="Arial"/>
        <family val="2"/>
      </rPr>
      <t>APARICIO BETANZOS ANA ESMERALDA</t>
    </r>
  </si>
  <si>
    <r>
      <rPr>
        <sz val="7"/>
        <rFont val="Arial"/>
        <family val="2"/>
      </rPr>
      <t>7</t>
    </r>
  </si>
  <si>
    <r>
      <rPr>
        <sz val="7"/>
        <rFont val="Arial"/>
        <family val="2"/>
      </rPr>
      <t>ARRIETA CORNEJO JOSUE SAUL</t>
    </r>
  </si>
  <si>
    <r>
      <rPr>
        <sz val="7"/>
        <rFont val="Arial"/>
        <family val="2"/>
      </rPr>
      <t>8</t>
    </r>
  </si>
  <si>
    <r>
      <rPr>
        <sz val="7"/>
        <rFont val="Arial"/>
        <family val="2"/>
      </rPr>
      <t>AVALOS ACUÑA GELASIO</t>
    </r>
  </si>
  <si>
    <r>
      <rPr>
        <sz val="7"/>
        <rFont val="Arial"/>
        <family val="2"/>
      </rPr>
      <t>9</t>
    </r>
  </si>
  <si>
    <r>
      <rPr>
        <sz val="7"/>
        <rFont val="Arial"/>
        <family val="2"/>
      </rPr>
      <t>BALCAZAR TORRES ANA CECILIA</t>
    </r>
  </si>
  <si>
    <r>
      <rPr>
        <sz val="7"/>
        <rFont val="Arial"/>
        <family val="2"/>
      </rPr>
      <t>10</t>
    </r>
  </si>
  <si>
    <r>
      <rPr>
        <sz val="7"/>
        <rFont val="Arial"/>
        <family val="2"/>
      </rPr>
      <t>BARRERA GONZALEZ LUIS ENRIQUE</t>
    </r>
  </si>
  <si>
    <r>
      <rPr>
        <sz val="7"/>
        <rFont val="Arial"/>
        <family val="2"/>
      </rPr>
      <t>11</t>
    </r>
  </si>
  <si>
    <r>
      <rPr>
        <sz val="7"/>
        <rFont val="Arial"/>
        <family val="2"/>
      </rPr>
      <t>BAUTISTA RAMIREZ RICARDO</t>
    </r>
  </si>
  <si>
    <r>
      <rPr>
        <sz val="7"/>
        <rFont val="Arial"/>
        <family val="2"/>
      </rPr>
      <t>12</t>
    </r>
  </si>
  <si>
    <r>
      <rPr>
        <sz val="7"/>
        <rFont val="Arial"/>
        <family val="2"/>
      </rPr>
      <t>BUENDIA CHAVARRIA YADIRA PAO LA</t>
    </r>
  </si>
  <si>
    <r>
      <rPr>
        <sz val="7"/>
        <rFont val="Arial"/>
        <family val="2"/>
      </rPr>
      <t>13</t>
    </r>
  </si>
  <si>
    <r>
      <rPr>
        <sz val="7"/>
        <rFont val="Arial"/>
        <family val="2"/>
      </rPr>
      <t>CANALES GUZMAN KARLA</t>
    </r>
  </si>
  <si>
    <r>
      <rPr>
        <sz val="7"/>
        <rFont val="Arial"/>
        <family val="2"/>
      </rPr>
      <t>14</t>
    </r>
  </si>
  <si>
    <r>
      <rPr>
        <sz val="7"/>
        <rFont val="Arial"/>
        <family val="2"/>
      </rPr>
      <t>CASTILLO ARRIETA ERIKA HIRIDIAN</t>
    </r>
  </si>
  <si>
    <r>
      <rPr>
        <sz val="7"/>
        <rFont val="Arial"/>
        <family val="2"/>
      </rPr>
      <t>15</t>
    </r>
  </si>
  <si>
    <r>
      <rPr>
        <sz val="7"/>
        <rFont val="Arial"/>
        <family val="2"/>
      </rPr>
      <t>CHAVARRIA CASTRO DIANA KAREN</t>
    </r>
  </si>
  <si>
    <r>
      <rPr>
        <sz val="7"/>
        <rFont val="Arial"/>
        <family val="2"/>
      </rPr>
      <t>16</t>
    </r>
  </si>
  <si>
    <r>
      <rPr>
        <sz val="7"/>
        <rFont val="Arial"/>
        <family val="2"/>
      </rPr>
      <t>CONSTANTINO DURAN GIOVANNI</t>
    </r>
  </si>
  <si>
    <r>
      <rPr>
        <sz val="7"/>
        <rFont val="Arial"/>
        <family val="2"/>
      </rPr>
      <t>17</t>
    </r>
  </si>
  <si>
    <r>
      <rPr>
        <sz val="7"/>
        <rFont val="Arial"/>
        <family val="2"/>
      </rPr>
      <t>CONSTANTINO LOPEZ DANIEL</t>
    </r>
  </si>
  <si>
    <r>
      <rPr>
        <sz val="7"/>
        <rFont val="Arial"/>
        <family val="2"/>
      </rPr>
      <t>18</t>
    </r>
  </si>
  <si>
    <r>
      <rPr>
        <sz val="7"/>
        <rFont val="Arial"/>
        <family val="2"/>
      </rPr>
      <t>CORTES ARELLANO JESUS YAHIR</t>
    </r>
  </si>
  <si>
    <r>
      <rPr>
        <sz val="7"/>
        <rFont val="Arial"/>
        <family val="2"/>
      </rPr>
      <t>19</t>
    </r>
  </si>
  <si>
    <r>
      <rPr>
        <sz val="7"/>
        <rFont val="Arial"/>
        <family val="2"/>
      </rPr>
      <t>CRUZ BRIBIESCA MAURO</t>
    </r>
  </si>
  <si>
    <r>
      <rPr>
        <sz val="7"/>
        <rFont val="Arial"/>
        <family val="2"/>
      </rPr>
      <t>20</t>
    </r>
  </si>
  <si>
    <r>
      <rPr>
        <sz val="7"/>
        <rFont val="Arial"/>
        <family val="2"/>
      </rPr>
      <t>DELGADO MIRANDA EIMY JOSELIN</t>
    </r>
  </si>
  <si>
    <r>
      <rPr>
        <sz val="7"/>
        <rFont val="Arial"/>
        <family val="2"/>
      </rPr>
      <t>21</t>
    </r>
  </si>
  <si>
    <r>
      <rPr>
        <sz val="7"/>
        <rFont val="Arial"/>
        <family val="2"/>
      </rPr>
      <t>FLORES MENDOZA DAYANA MONSERRATH</t>
    </r>
  </si>
  <si>
    <r>
      <rPr>
        <sz val="7"/>
        <rFont val="Arial"/>
        <family val="2"/>
      </rPr>
      <t>22</t>
    </r>
  </si>
  <si>
    <r>
      <rPr>
        <sz val="7"/>
        <rFont val="Arial"/>
        <family val="2"/>
      </rPr>
      <t>FUENTES ENCINO SERGIO IVAN</t>
    </r>
  </si>
  <si>
    <r>
      <rPr>
        <sz val="7"/>
        <rFont val="Arial"/>
        <family val="2"/>
      </rPr>
      <t>23</t>
    </r>
  </si>
  <si>
    <r>
      <rPr>
        <sz val="7"/>
        <rFont val="Arial"/>
        <family val="2"/>
      </rPr>
      <t>FUENTES REYES JESUS ELIAS</t>
    </r>
  </si>
  <si>
    <r>
      <rPr>
        <sz val="7"/>
        <rFont val="Arial"/>
        <family val="2"/>
      </rPr>
      <t>24</t>
    </r>
  </si>
  <si>
    <r>
      <rPr>
        <sz val="7"/>
        <rFont val="Arial"/>
        <family val="2"/>
      </rPr>
      <t>GAYOSSO MARTINEZ JESUS ALEXIS</t>
    </r>
  </si>
  <si>
    <r>
      <rPr>
        <sz val="7"/>
        <rFont val="Arial"/>
        <family val="2"/>
      </rPr>
      <t>25</t>
    </r>
  </si>
  <si>
    <r>
      <rPr>
        <sz val="7"/>
        <rFont val="Arial"/>
        <family val="2"/>
      </rPr>
      <t>GONZALEZ CASTILLO EDUARDO</t>
    </r>
  </si>
  <si>
    <r>
      <rPr>
        <sz val="7"/>
        <rFont val="Arial"/>
        <family val="2"/>
      </rPr>
      <t>26</t>
    </r>
  </si>
  <si>
    <r>
      <rPr>
        <sz val="7"/>
        <rFont val="Arial"/>
        <family val="2"/>
      </rPr>
      <t>GONZALEZ GONZALEZ VANESSA</t>
    </r>
  </si>
  <si>
    <r>
      <rPr>
        <sz val="7"/>
        <rFont val="Arial"/>
        <family val="2"/>
      </rPr>
      <t>27</t>
    </r>
  </si>
  <si>
    <r>
      <rPr>
        <sz val="7"/>
        <rFont val="Arial"/>
        <family val="2"/>
      </rPr>
      <t>GONZALEZ MIRANDA LIZBETH</t>
    </r>
  </si>
  <si>
    <r>
      <rPr>
        <sz val="7"/>
        <rFont val="Arial"/>
        <family val="2"/>
      </rPr>
      <t>28</t>
    </r>
  </si>
  <si>
    <r>
      <rPr>
        <sz val="7"/>
        <rFont val="Arial"/>
        <family val="2"/>
      </rPr>
      <t>GONZALEZ PERDOMO AXEL OMAR</t>
    </r>
  </si>
  <si>
    <r>
      <rPr>
        <sz val="7"/>
        <rFont val="Arial"/>
        <family val="2"/>
      </rPr>
      <t>29</t>
    </r>
  </si>
  <si>
    <r>
      <rPr>
        <sz val="7"/>
        <rFont val="Arial"/>
        <family val="2"/>
      </rPr>
      <t>GONZALEZ TORRES DANNA PAOLA</t>
    </r>
  </si>
  <si>
    <r>
      <rPr>
        <sz val="7"/>
        <rFont val="Arial"/>
        <family val="2"/>
      </rPr>
      <t>30</t>
    </r>
  </si>
  <si>
    <r>
      <rPr>
        <sz val="7"/>
        <rFont val="Arial"/>
        <family val="2"/>
      </rPr>
      <t>GRANILLO ITURBE CLAUDIA BEATRIZ</t>
    </r>
  </si>
  <si>
    <r>
      <rPr>
        <sz val="7"/>
        <rFont val="Arial"/>
        <family val="2"/>
      </rPr>
      <t>31</t>
    </r>
  </si>
  <si>
    <r>
      <rPr>
        <sz val="7"/>
        <rFont val="Arial"/>
        <family val="2"/>
      </rPr>
      <t>GUTIERREZ ALVARADO OSCAR EDOARDO</t>
    </r>
  </si>
  <si>
    <r>
      <rPr>
        <sz val="7"/>
        <rFont val="Arial"/>
        <family val="2"/>
      </rPr>
      <t>32</t>
    </r>
  </si>
  <si>
    <r>
      <rPr>
        <sz val="7"/>
        <rFont val="Arial"/>
        <family val="2"/>
      </rPr>
      <t>HERNANDEZ CARRASCO YEREMI</t>
    </r>
  </si>
  <si>
    <r>
      <rPr>
        <sz val="7"/>
        <rFont val="Arial"/>
        <family val="2"/>
      </rPr>
      <t>33</t>
    </r>
  </si>
  <si>
    <r>
      <rPr>
        <sz val="7"/>
        <rFont val="Arial"/>
        <family val="2"/>
      </rPr>
      <t>HERNANDEZ GARCIA CHRISTIAN MAURICIO</t>
    </r>
  </si>
  <si>
    <r>
      <rPr>
        <sz val="7"/>
        <rFont val="Arial"/>
        <family val="2"/>
      </rPr>
      <t>34</t>
    </r>
  </si>
  <si>
    <r>
      <rPr>
        <sz val="7"/>
        <rFont val="Arial"/>
        <family val="2"/>
      </rPr>
      <t>HERNANDEZ GONZALEZ MARIA DEL CARMEN</t>
    </r>
  </si>
  <si>
    <r>
      <rPr>
        <sz val="7"/>
        <rFont val="Arial"/>
        <family val="2"/>
      </rPr>
      <t>35</t>
    </r>
  </si>
  <si>
    <r>
      <rPr>
        <sz val="7"/>
        <rFont val="Arial"/>
        <family val="2"/>
      </rPr>
      <t>JIMENEZ GONZALEZ JOSE ALFREDO</t>
    </r>
  </si>
  <si>
    <r>
      <rPr>
        <sz val="7"/>
        <rFont val="Arial"/>
        <family val="2"/>
      </rPr>
      <t>36</t>
    </r>
  </si>
  <si>
    <r>
      <rPr>
        <sz val="7"/>
        <rFont val="Arial"/>
        <family val="2"/>
      </rPr>
      <t>LOPEZ RAMOS FERNANDA YAMILET</t>
    </r>
  </si>
  <si>
    <r>
      <rPr>
        <sz val="7"/>
        <rFont val="Arial"/>
        <family val="2"/>
      </rPr>
      <t>37</t>
    </r>
  </si>
  <si>
    <r>
      <rPr>
        <sz val="7"/>
        <rFont val="Arial"/>
        <family val="2"/>
      </rPr>
      <t>LUNA GONZALEZ MOISES</t>
    </r>
  </si>
  <si>
    <r>
      <rPr>
        <sz val="7"/>
        <rFont val="Arial"/>
        <family val="2"/>
      </rPr>
      <t>38</t>
    </r>
  </si>
  <si>
    <r>
      <rPr>
        <sz val="7"/>
        <rFont val="Arial"/>
        <family val="2"/>
      </rPr>
      <t>MARTINEZ FRANCISCO JOSE GERARDO</t>
    </r>
  </si>
  <si>
    <r>
      <rPr>
        <sz val="7"/>
        <rFont val="Arial"/>
        <family val="2"/>
      </rPr>
      <t>39</t>
    </r>
  </si>
  <si>
    <r>
      <rPr>
        <sz val="7"/>
        <rFont val="Arial"/>
        <family val="2"/>
      </rPr>
      <t>MAYORAL HERNANDEZ ANA LAURA</t>
    </r>
  </si>
  <si>
    <r>
      <rPr>
        <sz val="7"/>
        <rFont val="Arial"/>
        <family val="2"/>
      </rPr>
      <t>40</t>
    </r>
  </si>
  <si>
    <r>
      <rPr>
        <sz val="7"/>
        <rFont val="Arial"/>
        <family val="2"/>
      </rPr>
      <t>MEJIA MONICO SANTIAGO</t>
    </r>
  </si>
  <si>
    <r>
      <rPr>
        <sz val="7"/>
        <rFont val="Arial"/>
        <family val="2"/>
      </rPr>
      <t>41</t>
    </r>
  </si>
  <si>
    <r>
      <rPr>
        <sz val="7"/>
        <rFont val="Arial"/>
        <family val="2"/>
      </rPr>
      <t>MENDEZ MORALES ASHLEY YIRED</t>
    </r>
  </si>
  <si>
    <r>
      <rPr>
        <sz val="7"/>
        <rFont val="Arial"/>
        <family val="2"/>
      </rPr>
      <t>42</t>
    </r>
  </si>
  <si>
    <r>
      <rPr>
        <sz val="7"/>
        <rFont val="Arial"/>
        <family val="2"/>
      </rPr>
      <t>MENDOZA HERNANDEZ DANIELA ITZEL</t>
    </r>
  </si>
  <si>
    <r>
      <rPr>
        <sz val="7"/>
        <rFont val="Arial"/>
        <family val="2"/>
      </rPr>
      <t>43</t>
    </r>
  </si>
  <si>
    <r>
      <rPr>
        <sz val="7"/>
        <rFont val="Arial"/>
        <family val="2"/>
      </rPr>
      <t>NEQUIZ REYES RAUL</t>
    </r>
  </si>
  <si>
    <r>
      <rPr>
        <sz val="7"/>
        <rFont val="Arial"/>
        <family val="2"/>
      </rPr>
      <t>44</t>
    </r>
  </si>
  <si>
    <r>
      <rPr>
        <sz val="7"/>
        <rFont val="Arial"/>
        <family val="2"/>
      </rPr>
      <t>NOLASCO CHINO JESUS</t>
    </r>
  </si>
  <si>
    <r>
      <rPr>
        <sz val="7"/>
        <rFont val="Arial"/>
        <family val="2"/>
      </rPr>
      <t>45</t>
    </r>
  </si>
  <si>
    <r>
      <rPr>
        <sz val="7"/>
        <rFont val="Arial"/>
        <family val="2"/>
      </rPr>
      <t>OLIVIER EUSEBIO CHRISTIAN</t>
    </r>
  </si>
  <si>
    <r>
      <rPr>
        <sz val="7"/>
        <rFont val="Arial"/>
        <family val="2"/>
      </rPr>
      <t>46</t>
    </r>
  </si>
  <si>
    <r>
      <rPr>
        <sz val="7"/>
        <rFont val="Arial"/>
        <family val="2"/>
      </rPr>
      <t>PACHECO BUENDIA LUIS ROBERTO</t>
    </r>
  </si>
  <si>
    <r>
      <rPr>
        <sz val="7"/>
        <rFont val="Arial"/>
        <family val="2"/>
      </rPr>
      <t>47</t>
    </r>
  </si>
  <si>
    <r>
      <rPr>
        <sz val="7"/>
        <rFont val="Arial"/>
        <family val="2"/>
      </rPr>
      <t>PERALTA ARRIETA RICARDO ERIC</t>
    </r>
  </si>
  <si>
    <r>
      <rPr>
        <sz val="7"/>
        <rFont val="Arial"/>
        <family val="2"/>
      </rPr>
      <t>48</t>
    </r>
  </si>
  <si>
    <r>
      <rPr>
        <sz val="7"/>
        <rFont val="Arial"/>
        <family val="2"/>
      </rPr>
      <t>PEREZ CRUZ ANA LAURA</t>
    </r>
  </si>
  <si>
    <r>
      <rPr>
        <sz val="7"/>
        <rFont val="Arial"/>
        <family val="2"/>
      </rPr>
      <t>49</t>
    </r>
  </si>
  <si>
    <r>
      <rPr>
        <sz val="7"/>
        <rFont val="Arial"/>
        <family val="2"/>
      </rPr>
      <t>PEREZ PEREZ WENDY</t>
    </r>
  </si>
  <si>
    <r>
      <rPr>
        <sz val="7"/>
        <rFont val="Arial"/>
        <family val="2"/>
      </rPr>
      <t>50</t>
    </r>
  </si>
  <si>
    <r>
      <rPr>
        <sz val="7"/>
        <rFont val="Arial"/>
        <family val="2"/>
      </rPr>
      <t>RODRIGUEZ PERALTA JOSTIN</t>
    </r>
  </si>
  <si>
    <r>
      <rPr>
        <sz val="7"/>
        <rFont val="Arial"/>
        <family val="2"/>
      </rPr>
      <t>51</t>
    </r>
  </si>
  <si>
    <r>
      <rPr>
        <sz val="7"/>
        <rFont val="Arial"/>
        <family val="2"/>
      </rPr>
      <t>TERREROS TORIBIO VICTOR ALFONSO</t>
    </r>
  </si>
  <si>
    <r>
      <rPr>
        <sz val="7"/>
        <rFont val="Arial"/>
        <family val="2"/>
      </rPr>
      <t>52</t>
    </r>
  </si>
  <si>
    <r>
      <rPr>
        <sz val="7"/>
        <rFont val="Arial"/>
        <family val="2"/>
      </rPr>
      <t>URBINA CASTRO CARLOS ALAN</t>
    </r>
  </si>
  <si>
    <r>
      <rPr>
        <sz val="7"/>
        <rFont val="Arial"/>
        <family val="2"/>
      </rPr>
      <t>53</t>
    </r>
  </si>
  <si>
    <r>
      <rPr>
        <sz val="7"/>
        <rFont val="Arial"/>
        <family val="2"/>
      </rPr>
      <t>URBINA HERNANDEZ ARIANA</t>
    </r>
  </si>
  <si>
    <r>
      <rPr>
        <sz val="7"/>
        <rFont val="Arial"/>
        <family val="2"/>
      </rPr>
      <t>54</t>
    </r>
  </si>
  <si>
    <r>
      <rPr>
        <sz val="7"/>
        <rFont val="Arial"/>
        <family val="2"/>
      </rPr>
      <t>VALLESTEROS GONZALEZ CLAUDIA MARGARITA</t>
    </r>
  </si>
  <si>
    <r>
      <rPr>
        <sz val="7"/>
        <rFont val="Arial"/>
        <family val="2"/>
      </rPr>
      <t>55</t>
    </r>
  </si>
  <si>
    <r>
      <rPr>
        <sz val="7"/>
        <rFont val="Arial"/>
        <family val="2"/>
      </rPr>
      <t>VARGAS PAYARES MARI BEL</t>
    </r>
  </si>
  <si>
    <r>
      <rPr>
        <sz val="7"/>
        <rFont val="Arial"/>
        <family val="2"/>
      </rPr>
      <t>56</t>
    </r>
  </si>
  <si>
    <r>
      <rPr>
        <sz val="7"/>
        <rFont val="Arial"/>
        <family val="2"/>
      </rPr>
      <t>VAZQUEZ RAMIREZ RODRIGO</t>
    </r>
  </si>
  <si>
    <r>
      <rPr>
        <sz val="7"/>
        <rFont val="Arial"/>
        <family val="2"/>
      </rPr>
      <t>57</t>
    </r>
  </si>
  <si>
    <r>
      <rPr>
        <sz val="7"/>
        <rFont val="Arial"/>
        <family val="2"/>
      </rPr>
      <t>VILLALBA GONZALEZ LUIS ANGEL</t>
    </r>
  </si>
  <si>
    <r>
      <rPr>
        <sz val="7"/>
        <rFont val="Arial"/>
        <family val="2"/>
      </rPr>
      <t>58</t>
    </r>
  </si>
  <si>
    <r>
      <rPr>
        <sz val="7"/>
        <rFont val="Arial"/>
        <family val="2"/>
      </rPr>
      <t>VILLALOBOS BAUTISTA FREDY RONALDO</t>
    </r>
  </si>
  <si>
    <r>
      <rPr>
        <sz val="7"/>
        <rFont val="Arial"/>
        <family val="2"/>
      </rPr>
      <t>59</t>
    </r>
  </si>
  <si>
    <r>
      <rPr>
        <sz val="7"/>
        <rFont val="Arial"/>
        <family val="2"/>
      </rPr>
      <t>ZEA CORNEJO WENDY YOSELIN</t>
    </r>
  </si>
  <si>
    <r>
      <rPr>
        <sz val="7"/>
        <rFont val="Arial"/>
        <family val="2"/>
      </rPr>
      <t>ALARCON GARCIA FRANCISCO NOEL</t>
    </r>
  </si>
  <si>
    <r>
      <rPr>
        <sz val="7"/>
        <rFont val="Arial"/>
        <family val="2"/>
      </rPr>
      <t>ALCANTARA GONZALEZ JONATHAN</t>
    </r>
  </si>
  <si>
    <r>
      <rPr>
        <sz val="7"/>
        <rFont val="Arial"/>
        <family val="2"/>
      </rPr>
      <t>ALCANTARA SOLIS LUIS ENRIQUE</t>
    </r>
  </si>
  <si>
    <r>
      <rPr>
        <sz val="7"/>
        <rFont val="Arial"/>
        <family val="2"/>
      </rPr>
      <t>ALFARO BAUTISTA VICTOR JAIR</t>
    </r>
  </si>
  <si>
    <r>
      <rPr>
        <sz val="7"/>
        <rFont val="Arial"/>
        <family val="2"/>
      </rPr>
      <t>ANASTACIO GARCIA LESLY DENISSE</t>
    </r>
  </si>
  <si>
    <r>
      <rPr>
        <sz val="7"/>
        <rFont val="Arial"/>
        <family val="2"/>
      </rPr>
      <t>ARIAS NEQUIZ FERNANDA MARIEL</t>
    </r>
  </si>
  <si>
    <r>
      <rPr>
        <sz val="7"/>
        <rFont val="Arial"/>
        <family val="2"/>
      </rPr>
      <t>BAUTISTA DE LA CRUZ NADIA MARLEN</t>
    </r>
  </si>
  <si>
    <r>
      <rPr>
        <sz val="7"/>
        <rFont val="Arial"/>
        <family val="2"/>
      </rPr>
      <t>BERMUDEZ CLEMENTE EVELIN YADIRA</t>
    </r>
  </si>
  <si>
    <r>
      <rPr>
        <sz val="7"/>
        <rFont val="Arial"/>
        <family val="2"/>
      </rPr>
      <t>BIJENDIA CARDENAS NATHANAEL</t>
    </r>
  </si>
  <si>
    <r>
      <rPr>
        <sz val="7"/>
        <rFont val="Arial"/>
        <family val="2"/>
      </rPr>
      <t>BUENDIA FLORES ANA GABRIELA</t>
    </r>
  </si>
  <si>
    <r>
      <rPr>
        <sz val="7"/>
        <rFont val="Arial"/>
        <family val="2"/>
      </rPr>
      <t>BUENDIA NEQUIZ MARIO ATZIN</t>
    </r>
  </si>
  <si>
    <r>
      <rPr>
        <sz val="7"/>
        <rFont val="Arial"/>
        <family val="2"/>
      </rPr>
      <t>CAMARILLO ORTIZ ESMERALDA</t>
    </r>
  </si>
  <si>
    <r>
      <rPr>
        <sz val="7"/>
        <rFont val="Arial"/>
        <family val="2"/>
      </rPr>
      <t>CASTRO VILLEGAS FEDERICO YAEL</t>
    </r>
  </si>
  <si>
    <r>
      <rPr>
        <sz val="7"/>
        <rFont val="Arial"/>
        <family val="2"/>
      </rPr>
      <t>CERCAS CABALLtRO YESENIA DE JESUS</t>
    </r>
  </si>
  <si>
    <r>
      <rPr>
        <sz val="7"/>
        <rFont val="Arial"/>
        <family val="2"/>
      </rPr>
      <t>CRUZ VALENTIN JOSE ANGEL</t>
    </r>
  </si>
  <si>
    <r>
      <rPr>
        <sz val="7"/>
        <rFont val="Arial"/>
        <family val="2"/>
      </rPr>
      <t>ESTRADA LOPEZ ALEXANDRA</t>
    </r>
  </si>
  <si>
    <r>
      <rPr>
        <sz val="7"/>
        <rFont val="Arial"/>
        <family val="2"/>
      </rPr>
      <t>GALICIA NUÑEZ GABRIELA GUADALUPE</t>
    </r>
  </si>
  <si>
    <r>
      <rPr>
        <sz val="7"/>
        <rFont val="Arial"/>
        <family val="2"/>
      </rPr>
      <t>GALVAN COLUNGA RAUL HARLEY</t>
    </r>
  </si>
  <si>
    <r>
      <rPr>
        <sz val="7"/>
        <rFont val="Arial"/>
        <family val="2"/>
      </rPr>
      <t>GARCIA CASTRO GERARDO PATRICIO</t>
    </r>
  </si>
  <si>
    <r>
      <rPr>
        <sz val="7"/>
        <rFont val="Arial"/>
        <family val="2"/>
      </rPr>
      <t>GARCIA MONDRAGON NAYELY</t>
    </r>
  </si>
  <si>
    <r>
      <rPr>
        <sz val="7"/>
        <rFont val="Arial"/>
        <family val="2"/>
      </rPr>
      <t>GAYTAN BRAVO ENRIQUE</t>
    </r>
  </si>
  <si>
    <r>
      <rPr>
        <sz val="7"/>
        <rFont val="Arial"/>
        <family val="2"/>
      </rPr>
      <t>GONZALEZ BEJARANO MAYRA GABRIELA</t>
    </r>
  </si>
  <si>
    <r>
      <rPr>
        <sz val="7"/>
        <rFont val="Arial"/>
        <family val="2"/>
      </rPr>
      <t>GONZALEZ GONZALEZ LUIS BERNARDO</t>
    </r>
  </si>
  <si>
    <r>
      <rPr>
        <sz val="7"/>
        <rFont val="Arial"/>
        <family val="2"/>
      </rPr>
      <t>HERNANDEZ BRAVO ALDO</t>
    </r>
  </si>
  <si>
    <r>
      <rPr>
        <sz val="7"/>
        <rFont val="Arial"/>
        <family val="2"/>
      </rPr>
      <t>HERNANDEZ CLAUDIO EDITH MICHELL</t>
    </r>
  </si>
  <si>
    <r>
      <rPr>
        <sz val="7"/>
        <rFont val="Arial"/>
        <family val="2"/>
      </rPr>
      <t>HERNANDEZ SANCHEZ GUADALUPE JANETH</t>
    </r>
  </si>
  <si>
    <r>
      <rPr>
        <sz val="7"/>
        <rFont val="Arial"/>
        <family val="2"/>
      </rPr>
      <t>LOPEZ HERNANDEZ MARIA DEL CARMEN</t>
    </r>
  </si>
  <si>
    <r>
      <rPr>
        <sz val="7"/>
        <rFont val="Arial"/>
        <family val="2"/>
      </rPr>
      <t>MARCOS DAMASO LUZ MARIA</t>
    </r>
  </si>
  <si>
    <r>
      <rPr>
        <sz val="7"/>
        <rFont val="Arial"/>
        <family val="2"/>
      </rPr>
      <t>MARIN DESIDERIO JONATHAN</t>
    </r>
  </si>
  <si>
    <r>
      <rPr>
        <sz val="7"/>
        <rFont val="Arial"/>
        <family val="2"/>
      </rPr>
      <t>MARTINEZ CRUZ ANA YEIMI</t>
    </r>
  </si>
  <si>
    <r>
      <rPr>
        <sz val="7"/>
        <rFont val="Arial"/>
        <family val="2"/>
      </rPr>
      <t>MEJIA ROSILES ALEJANDRO GAEL</t>
    </r>
  </si>
  <si>
    <r>
      <rPr>
        <sz val="7"/>
        <rFont val="Arial"/>
        <family val="2"/>
      </rPr>
      <t>MIONI ZAVALA EMMAIRENN</t>
    </r>
  </si>
  <si>
    <r>
      <rPr>
        <sz val="7"/>
        <rFont val="Arial"/>
        <family val="2"/>
      </rPr>
      <t>MORAZUÑIGA ERICK</t>
    </r>
  </si>
  <si>
    <r>
      <rPr>
        <sz val="7"/>
        <rFont val="Arial"/>
        <family val="2"/>
      </rPr>
      <t>MORALES GARDUÑO RUBEN</t>
    </r>
  </si>
  <si>
    <r>
      <rPr>
        <sz val="7"/>
        <rFont val="Arial"/>
        <family val="2"/>
      </rPr>
      <t>MORALES MORALES KARIME DANAE</t>
    </r>
  </si>
  <si>
    <r>
      <rPr>
        <sz val="7"/>
        <rFont val="Arial"/>
        <family val="2"/>
      </rPr>
      <t>MORALES VEGA CESAR MICHELLE</t>
    </r>
  </si>
  <si>
    <r>
      <rPr>
        <sz val="7"/>
        <rFont val="Arial"/>
        <family val="2"/>
      </rPr>
      <t>NEQUIZ ANTONIO MIRNA ARACELI</t>
    </r>
  </si>
  <si>
    <r>
      <rPr>
        <sz val="7"/>
        <rFont val="Arial"/>
        <family val="2"/>
      </rPr>
      <t>OLIVARES HERNANDEZ FATIMA ELI</t>
    </r>
  </si>
  <si>
    <r>
      <rPr>
        <sz val="7"/>
        <rFont val="Arial"/>
        <family val="2"/>
      </rPr>
      <t>ORTIZ ROBLES JUAN MANUEL</t>
    </r>
  </si>
  <si>
    <r>
      <rPr>
        <sz val="7"/>
        <rFont val="Arial"/>
        <family val="2"/>
      </rPr>
      <t>OSORIO DOMIGNUEZ JESUS ANTONIO</t>
    </r>
  </si>
  <si>
    <r>
      <rPr>
        <sz val="7"/>
        <rFont val="Arial"/>
        <family val="2"/>
      </rPr>
      <t>PALMA GONZALEZ JESUS ALEXIS</t>
    </r>
  </si>
  <si>
    <r>
      <rPr>
        <sz val="7"/>
        <rFont val="Arial"/>
        <family val="2"/>
      </rPr>
      <t>PAZ JIMENEZ GABRIELA</t>
    </r>
  </si>
  <si>
    <r>
      <rPr>
        <sz val="7"/>
        <rFont val="Arial"/>
        <family val="2"/>
      </rPr>
      <t>PERALTA CASTAÑEDA MERCEDES KARLA</t>
    </r>
  </si>
  <si>
    <r>
      <rPr>
        <sz val="7"/>
        <rFont val="Arial"/>
        <family val="2"/>
      </rPr>
      <t>PEREZ AVALOS JAZMIN</t>
    </r>
  </si>
  <si>
    <r>
      <rPr>
        <sz val="7"/>
        <rFont val="Arial"/>
        <family val="2"/>
      </rPr>
      <t>RIVERA MEZA LUCIA</t>
    </r>
  </si>
  <si>
    <r>
      <rPr>
        <sz val="7"/>
        <rFont val="Arial"/>
        <family val="2"/>
      </rPr>
      <t>RODRIGUEZ VELAZCO DANIEL</t>
    </r>
  </si>
  <si>
    <r>
      <rPr>
        <sz val="7"/>
        <rFont val="Arial"/>
        <family val="2"/>
      </rPr>
      <t>ROJAS MEJIA MARIA FERNANDA</t>
    </r>
  </si>
  <si>
    <r>
      <rPr>
        <sz val="7"/>
        <rFont val="Arial"/>
        <family val="2"/>
      </rPr>
      <t>SALAZAR SALINAS VALERIA</t>
    </r>
  </si>
  <si>
    <r>
      <rPr>
        <sz val="7"/>
        <rFont val="Arial"/>
        <family val="2"/>
      </rPr>
      <t>SALVATIERRA URIBE BRYTANI DEL CARMEN</t>
    </r>
  </si>
  <si>
    <r>
      <rPr>
        <sz val="7"/>
        <rFont val="Arial"/>
        <family val="2"/>
      </rPr>
      <t>SANCHEZ AGUILAR RODRIGO GABRIEL</t>
    </r>
  </si>
  <si>
    <r>
      <rPr>
        <sz val="7"/>
        <rFont val="Arial"/>
        <family val="2"/>
      </rPr>
      <t>SANCHEZ CASTELLANOS EDUARDO VALDEMAR</t>
    </r>
  </si>
  <si>
    <r>
      <rPr>
        <sz val="7"/>
        <rFont val="Arial"/>
        <family val="2"/>
      </rPr>
      <t>SANCHEZ CORTES NAOMI GHISLAINE</t>
    </r>
  </si>
  <si>
    <r>
      <rPr>
        <sz val="7"/>
        <rFont val="Arial"/>
        <family val="2"/>
      </rPr>
      <t>SEGUNDO VAZQUEZ HECTOR AXEL</t>
    </r>
  </si>
  <si>
    <r>
      <rPr>
        <sz val="7"/>
        <rFont val="Arial"/>
        <family val="2"/>
      </rPr>
      <t>SEVERIANO SANCHEZ ADRIAN</t>
    </r>
  </si>
  <si>
    <r>
      <rPr>
        <sz val="7"/>
        <rFont val="Arial"/>
        <family val="2"/>
      </rPr>
      <t>TELLEZ LORENZO LUIS MARTIN</t>
    </r>
  </si>
  <si>
    <r>
      <rPr>
        <sz val="7"/>
        <rFont val="Arial"/>
        <family val="2"/>
      </rPr>
      <t>VAZQUEZ ORTIZ DIANA YARIBETH</t>
    </r>
  </si>
  <si>
    <r>
      <rPr>
        <sz val="7"/>
        <rFont val="Arial"/>
        <family val="2"/>
      </rPr>
      <t>VILLALBA LINARES GUADALUPE</t>
    </r>
  </si>
  <si>
    <r>
      <rPr>
        <sz val="7"/>
        <rFont val="Arial"/>
        <family val="2"/>
      </rPr>
      <t>ZARATE BARRERA GRECIA SARAHI</t>
    </r>
  </si>
  <si>
    <r>
      <rPr>
        <sz val="6"/>
        <rFont val="Calibri"/>
        <family val="2"/>
        <scheme val="minor"/>
      </rPr>
      <t>H</t>
    </r>
  </si>
  <si>
    <r>
      <rPr>
        <sz val="7"/>
        <rFont val="Calibri"/>
        <family val="2"/>
        <scheme val="minor"/>
      </rPr>
      <t>M</t>
    </r>
  </si>
  <si>
    <r>
      <rPr>
        <sz val="7"/>
        <rFont val="Calibri"/>
        <family val="2"/>
        <scheme val="minor"/>
      </rPr>
      <t>NOMBRE</t>
    </r>
  </si>
  <si>
    <r>
      <rPr>
        <sz val="6"/>
        <rFont val="Calibri"/>
        <family val="2"/>
        <scheme val="minor"/>
      </rPr>
      <t>1</t>
    </r>
  </si>
  <si>
    <r>
      <rPr>
        <sz val="7"/>
        <rFont val="Calibri"/>
        <family val="2"/>
        <scheme val="minor"/>
      </rPr>
      <t>ALFARO PAEZ DIANA ZOE</t>
    </r>
  </si>
  <si>
    <r>
      <rPr>
        <sz val="6"/>
        <rFont val="Calibri"/>
        <family val="2"/>
        <scheme val="minor"/>
      </rPr>
      <t>2</t>
    </r>
  </si>
  <si>
    <r>
      <rPr>
        <sz val="7"/>
        <rFont val="Calibri"/>
        <family val="2"/>
        <scheme val="minor"/>
      </rPr>
      <t>ANGELES HERNANDEZ MARIA ELENA</t>
    </r>
  </si>
  <si>
    <r>
      <rPr>
        <sz val="6"/>
        <rFont val="Calibri"/>
        <family val="2"/>
        <scheme val="minor"/>
      </rPr>
      <t>3</t>
    </r>
  </si>
  <si>
    <r>
      <rPr>
        <sz val="7"/>
        <rFont val="Calibri"/>
        <family val="2"/>
        <scheme val="minor"/>
      </rPr>
      <t>ANTONIO CRUZ MARTIN ALEJANDRO</t>
    </r>
  </si>
  <si>
    <r>
      <rPr>
        <sz val="6"/>
        <rFont val="Calibri"/>
        <family val="2"/>
        <scheme val="minor"/>
      </rPr>
      <t>4</t>
    </r>
  </si>
  <si>
    <r>
      <rPr>
        <sz val="7"/>
        <rFont val="Calibri"/>
        <family val="2"/>
        <scheme val="minor"/>
      </rPr>
      <t>ARIZMENDIZ CASTRO KARLA MONSERRAT</t>
    </r>
  </si>
  <si>
    <r>
      <rPr>
        <sz val="6"/>
        <rFont val="Calibri"/>
        <family val="2"/>
        <scheme val="minor"/>
      </rPr>
      <t>5</t>
    </r>
  </si>
  <si>
    <r>
      <rPr>
        <sz val="7"/>
        <rFont val="Calibri"/>
        <family val="2"/>
        <scheme val="minor"/>
      </rPr>
      <t>ARRONA GARCIA JOSE ANTONIO</t>
    </r>
  </si>
  <si>
    <r>
      <rPr>
        <sz val="6"/>
        <rFont val="Calibri"/>
        <family val="2"/>
        <scheme val="minor"/>
      </rPr>
      <t>6</t>
    </r>
  </si>
  <si>
    <r>
      <rPr>
        <sz val="7"/>
        <rFont val="Calibri"/>
        <family val="2"/>
        <scheme val="minor"/>
      </rPr>
      <t>AVENDAÑO CERVANTES AXEL</t>
    </r>
  </si>
  <si>
    <r>
      <rPr>
        <sz val="6"/>
        <rFont val="Calibri"/>
        <family val="2"/>
        <scheme val="minor"/>
      </rPr>
      <t>7</t>
    </r>
  </si>
  <si>
    <r>
      <rPr>
        <sz val="7"/>
        <rFont val="Calibri"/>
        <family val="2"/>
        <scheme val="minor"/>
      </rPr>
      <t>BUENDIA FLORES JOSUE ISIDRO</t>
    </r>
  </si>
  <si>
    <r>
      <rPr>
        <sz val="6"/>
        <rFont val="Calibri"/>
        <family val="2"/>
        <scheme val="minor"/>
      </rPr>
      <t>8</t>
    </r>
  </si>
  <si>
    <r>
      <rPr>
        <sz val="7"/>
        <rFont val="Calibri"/>
        <family val="2"/>
        <scheme val="minor"/>
      </rPr>
      <t>CALVA CRUZ CAROLINA ABIGAIL</t>
    </r>
  </si>
  <si>
    <r>
      <rPr>
        <sz val="6"/>
        <rFont val="Calibri"/>
        <family val="2"/>
        <scheme val="minor"/>
      </rPr>
      <t>9</t>
    </r>
  </si>
  <si>
    <r>
      <rPr>
        <sz val="7"/>
        <rFont val="Calibri"/>
        <family val="2"/>
        <scheme val="minor"/>
      </rPr>
      <t>CASTILLO JIMENEZ GUADALUPE MONSERRAT</t>
    </r>
  </si>
  <si>
    <r>
      <rPr>
        <sz val="6"/>
        <rFont val="Calibri"/>
        <family val="2"/>
        <scheme val="minor"/>
      </rPr>
      <t>10</t>
    </r>
  </si>
  <si>
    <r>
      <rPr>
        <sz val="7"/>
        <rFont val="Calibri"/>
        <family val="2"/>
        <scheme val="minor"/>
      </rPr>
      <t>CASTILLO MARTINEZ LEONARDO SANTIAGO</t>
    </r>
  </si>
  <si>
    <r>
      <rPr>
        <sz val="6"/>
        <rFont val="Calibri"/>
        <family val="2"/>
        <scheme val="minor"/>
      </rPr>
      <t>11</t>
    </r>
  </si>
  <si>
    <r>
      <rPr>
        <sz val="7"/>
        <rFont val="Calibri"/>
        <family val="2"/>
        <scheme val="minor"/>
      </rPr>
      <t>CASTRO NEQUIZ DANIEL</t>
    </r>
  </si>
  <si>
    <r>
      <rPr>
        <sz val="6"/>
        <rFont val="Calibri"/>
        <family val="2"/>
        <scheme val="minor"/>
      </rPr>
      <t>12</t>
    </r>
  </si>
  <si>
    <r>
      <rPr>
        <sz val="7"/>
        <rFont val="Calibri"/>
        <family val="2"/>
        <scheme val="minor"/>
      </rPr>
      <t>CRUZ MARTINEZ EVELIN ALEJANDRA</t>
    </r>
  </si>
  <si>
    <r>
      <rPr>
        <sz val="6"/>
        <rFont val="Calibri"/>
        <family val="2"/>
        <scheme val="minor"/>
      </rPr>
      <t>13</t>
    </r>
  </si>
  <si>
    <r>
      <rPr>
        <sz val="7"/>
        <rFont val="Calibri"/>
        <family val="2"/>
        <scheme val="minor"/>
      </rPr>
      <t>DE LA CRUZ MARTINEZ JAZMIN</t>
    </r>
  </si>
  <si>
    <r>
      <rPr>
        <sz val="6"/>
        <rFont val="Calibri"/>
        <family val="2"/>
        <scheme val="minor"/>
      </rPr>
      <t>14</t>
    </r>
  </si>
  <si>
    <r>
      <rPr>
        <sz val="7"/>
        <rFont val="Calibri"/>
        <family val="2"/>
        <scheme val="minor"/>
      </rPr>
      <t>FLORES PERALTA FRANCISCO</t>
    </r>
  </si>
  <si>
    <r>
      <rPr>
        <sz val="6"/>
        <rFont val="Calibri"/>
        <family val="2"/>
        <scheme val="minor"/>
      </rPr>
      <t>15</t>
    </r>
  </si>
  <si>
    <r>
      <rPr>
        <sz val="7"/>
        <rFont val="Calibri"/>
        <family val="2"/>
        <scheme val="minor"/>
      </rPr>
      <t>GONZALEZ AVENDAÑO BRENDA ANGELICA</t>
    </r>
  </si>
  <si>
    <r>
      <rPr>
        <sz val="6"/>
        <rFont val="Calibri"/>
        <family val="2"/>
        <scheme val="minor"/>
      </rPr>
      <t>16</t>
    </r>
  </si>
  <si>
    <r>
      <rPr>
        <sz val="7"/>
        <rFont val="Calibri"/>
        <family val="2"/>
        <scheme val="minor"/>
      </rPr>
      <t>GONZALEZ DIAZ JOSELINE GUADALUPE</t>
    </r>
  </si>
  <si>
    <r>
      <rPr>
        <sz val="6"/>
        <rFont val="Calibri"/>
        <family val="2"/>
        <scheme val="minor"/>
      </rPr>
      <t>17</t>
    </r>
  </si>
  <si>
    <r>
      <rPr>
        <sz val="7"/>
        <rFont val="Calibri"/>
        <family val="2"/>
        <scheme val="minor"/>
      </rPr>
      <t>GONZALEZ LUNA FATIMA</t>
    </r>
  </si>
  <si>
    <r>
      <rPr>
        <sz val="6"/>
        <rFont val="Calibri"/>
        <family val="2"/>
        <scheme val="minor"/>
      </rPr>
      <t>18</t>
    </r>
  </si>
  <si>
    <r>
      <rPr>
        <sz val="6"/>
        <rFont val="Calibri"/>
        <family val="2"/>
        <scheme val="minor"/>
      </rPr>
      <t>19</t>
    </r>
  </si>
  <si>
    <r>
      <rPr>
        <sz val="7"/>
        <rFont val="Calibri"/>
        <family val="2"/>
        <scheme val="minor"/>
      </rPr>
      <t>HERNANDEZ PAEZ LIZETH</t>
    </r>
  </si>
  <si>
    <r>
      <rPr>
        <sz val="6"/>
        <rFont val="Calibri"/>
        <family val="2"/>
        <scheme val="minor"/>
      </rPr>
      <t>20</t>
    </r>
  </si>
  <si>
    <r>
      <rPr>
        <sz val="7"/>
        <rFont val="Calibri"/>
        <family val="2"/>
        <scheme val="minor"/>
      </rPr>
      <t>HUERTA SANCHEZ JONATHAN RICARDO</t>
    </r>
  </si>
  <si>
    <r>
      <rPr>
        <sz val="6"/>
        <rFont val="Calibri"/>
        <family val="2"/>
        <scheme val="minor"/>
      </rPr>
      <t>21</t>
    </r>
  </si>
  <si>
    <r>
      <rPr>
        <sz val="7"/>
        <rFont val="Calibri"/>
        <family val="2"/>
        <scheme val="minor"/>
      </rPr>
      <t>JIMENEZ CASTAÑEDA ZAUDY YAREMITH</t>
    </r>
  </si>
  <si>
    <r>
      <rPr>
        <sz val="6"/>
        <rFont val="Calibri"/>
        <family val="2"/>
        <scheme val="minor"/>
      </rPr>
      <t>22</t>
    </r>
  </si>
  <si>
    <r>
      <rPr>
        <sz val="7"/>
        <rFont val="Calibri"/>
        <family val="2"/>
        <scheme val="minor"/>
      </rPr>
      <t>LOPEZ SANCHEZ ERICK DAVID</t>
    </r>
  </si>
  <si>
    <r>
      <rPr>
        <sz val="6"/>
        <rFont val="Calibri"/>
        <family val="2"/>
        <scheme val="minor"/>
      </rPr>
      <t>23</t>
    </r>
  </si>
  <si>
    <r>
      <rPr>
        <sz val="7"/>
        <rFont val="Calibri"/>
        <family val="2"/>
        <scheme val="minor"/>
      </rPr>
      <t>MARTINEZ CRUZ CARLOS</t>
    </r>
  </si>
  <si>
    <r>
      <rPr>
        <sz val="6"/>
        <rFont val="Calibri"/>
        <family val="2"/>
        <scheme val="minor"/>
      </rPr>
      <t>24</t>
    </r>
  </si>
  <si>
    <r>
      <rPr>
        <sz val="7"/>
        <rFont val="Calibri"/>
        <family val="2"/>
        <scheme val="minor"/>
      </rPr>
      <t>MARTINEZ GONZALEZ EDUARDO</t>
    </r>
  </si>
  <si>
    <r>
      <rPr>
        <sz val="6"/>
        <rFont val="Calibri"/>
        <family val="2"/>
        <scheme val="minor"/>
      </rPr>
      <t>25</t>
    </r>
  </si>
  <si>
    <r>
      <rPr>
        <sz val="7"/>
        <rFont val="Calibri"/>
        <family val="2"/>
        <scheme val="minor"/>
      </rPr>
      <t>MARTINEZ MARTINEZ AURELIANO JAIR</t>
    </r>
  </si>
  <si>
    <r>
      <rPr>
        <sz val="6"/>
        <rFont val="Calibri"/>
        <family val="2"/>
        <scheme val="minor"/>
      </rPr>
      <t>26</t>
    </r>
  </si>
  <si>
    <r>
      <rPr>
        <sz val="7"/>
        <rFont val="Calibri"/>
        <family val="2"/>
        <scheme val="minor"/>
      </rPr>
      <t>MARTINEZ MENDOZA VICTOR MANUEL</t>
    </r>
  </si>
  <si>
    <r>
      <rPr>
        <sz val="6"/>
        <rFont val="Calibri"/>
        <family val="2"/>
        <scheme val="minor"/>
      </rPr>
      <t>27</t>
    </r>
  </si>
  <si>
    <r>
      <rPr>
        <sz val="7"/>
        <rFont val="Calibri"/>
        <family val="2"/>
        <scheme val="minor"/>
      </rPr>
      <t>MENDEZ RIVERA ALEXIS EMILIANO</t>
    </r>
  </si>
  <si>
    <r>
      <rPr>
        <sz val="6"/>
        <rFont val="Calibri"/>
        <family val="2"/>
        <scheme val="minor"/>
      </rPr>
      <t>28</t>
    </r>
  </si>
  <si>
    <r>
      <rPr>
        <sz val="7"/>
        <rFont val="Calibri"/>
        <family val="2"/>
        <scheme val="minor"/>
      </rPr>
      <t>MENOR SALGADO JUDITH</t>
    </r>
  </si>
  <si>
    <r>
      <rPr>
        <sz val="6"/>
        <rFont val="Calibri"/>
        <family val="2"/>
        <scheme val="minor"/>
      </rPr>
      <t>29</t>
    </r>
  </si>
  <si>
    <r>
      <rPr>
        <sz val="7"/>
        <rFont val="Calibri"/>
        <family val="2"/>
        <scheme val="minor"/>
      </rPr>
      <t>NAVARRO JUAREZ EDITH GISELA</t>
    </r>
  </si>
  <si>
    <r>
      <rPr>
        <sz val="6"/>
        <rFont val="Calibri"/>
        <family val="2"/>
        <scheme val="minor"/>
      </rPr>
      <t>30</t>
    </r>
  </si>
  <si>
    <r>
      <rPr>
        <sz val="7"/>
        <rFont val="Calibri"/>
        <family val="2"/>
        <scheme val="minor"/>
      </rPr>
      <t>NEQUIZ BUENDIA YOSSELIN GUADALUPE</t>
    </r>
  </si>
  <si>
    <r>
      <rPr>
        <sz val="6"/>
        <rFont val="Calibri"/>
        <family val="2"/>
        <scheme val="minor"/>
      </rPr>
      <t>31</t>
    </r>
  </si>
  <si>
    <r>
      <rPr>
        <sz val="7"/>
        <rFont val="Calibri"/>
        <family val="2"/>
        <scheme val="minor"/>
      </rPr>
      <t>NEQUIZ GARCIA ISRAEL</t>
    </r>
  </si>
  <si>
    <r>
      <rPr>
        <sz val="6"/>
        <rFont val="Calibri"/>
        <family val="2"/>
        <scheme val="minor"/>
      </rPr>
      <t>32</t>
    </r>
  </si>
  <si>
    <r>
      <rPr>
        <sz val="7"/>
        <rFont val="Calibri"/>
        <family val="2"/>
        <scheme val="minor"/>
      </rPr>
      <t>ORTIZ CASTILLO CLAUDIA ANDREA</t>
    </r>
  </si>
  <si>
    <r>
      <rPr>
        <sz val="6"/>
        <rFont val="Calibri"/>
        <family val="2"/>
        <scheme val="minor"/>
      </rPr>
      <t>33</t>
    </r>
  </si>
  <si>
    <r>
      <rPr>
        <sz val="7"/>
        <rFont val="Calibri"/>
        <family val="2"/>
        <scheme val="minor"/>
      </rPr>
      <t>ORTIZ GARCIA PERLA CITLALI</t>
    </r>
  </si>
  <si>
    <r>
      <rPr>
        <sz val="6"/>
        <rFont val="Calibri"/>
        <family val="2"/>
        <scheme val="minor"/>
      </rPr>
      <t>34</t>
    </r>
  </si>
  <si>
    <r>
      <rPr>
        <sz val="7"/>
        <rFont val="Calibri"/>
        <family val="2"/>
        <scheme val="minor"/>
      </rPr>
      <t>PACHECO PEREZ MARIANA ITZEL</t>
    </r>
  </si>
  <si>
    <r>
      <rPr>
        <sz val="6"/>
        <rFont val="Calibri"/>
        <family val="2"/>
        <scheme val="minor"/>
      </rPr>
      <t>35</t>
    </r>
  </si>
  <si>
    <r>
      <rPr>
        <sz val="7"/>
        <rFont val="Calibri"/>
        <family val="2"/>
        <scheme val="minor"/>
      </rPr>
      <t>PERALTA GARCIA MIGUEL ANGEL</t>
    </r>
  </si>
  <si>
    <r>
      <rPr>
        <sz val="6"/>
        <rFont val="Calibri"/>
        <family val="2"/>
        <scheme val="minor"/>
      </rPr>
      <t>36</t>
    </r>
  </si>
  <si>
    <r>
      <rPr>
        <sz val="7"/>
        <rFont val="Calibri"/>
        <family val="2"/>
        <scheme val="minor"/>
      </rPr>
      <t>PEREZ BUENDIA JAQUELINE PAOLA</t>
    </r>
  </si>
  <si>
    <r>
      <rPr>
        <sz val="6"/>
        <rFont val="Calibri"/>
        <family val="2"/>
        <scheme val="minor"/>
      </rPr>
      <t>37</t>
    </r>
  </si>
  <si>
    <r>
      <rPr>
        <sz val="7"/>
        <rFont val="Calibri"/>
        <family val="2"/>
        <scheme val="minor"/>
      </rPr>
      <t>RANGEL GONZALEZ ANDREA YOSELIN</t>
    </r>
  </si>
  <si>
    <r>
      <rPr>
        <sz val="6"/>
        <rFont val="Calibri"/>
        <family val="2"/>
        <scheme val="minor"/>
      </rPr>
      <t>38</t>
    </r>
  </si>
  <si>
    <r>
      <rPr>
        <sz val="7"/>
        <rFont val="Calibri"/>
        <family val="2"/>
        <scheme val="minor"/>
      </rPr>
      <t>RANGEL SANCHEZ JULIO ISAAC</t>
    </r>
  </si>
  <si>
    <r>
      <rPr>
        <sz val="6"/>
        <rFont val="Calibri"/>
        <family val="2"/>
        <scheme val="minor"/>
      </rPr>
      <t>39</t>
    </r>
  </si>
  <si>
    <r>
      <rPr>
        <sz val="7"/>
        <rFont val="Calibri"/>
        <family val="2"/>
        <scheme val="minor"/>
      </rPr>
      <t>RIVERA MARIN SALMA KEILA</t>
    </r>
  </si>
  <si>
    <r>
      <rPr>
        <sz val="6"/>
        <rFont val="Calibri"/>
        <family val="2"/>
        <scheme val="minor"/>
      </rPr>
      <t>40</t>
    </r>
  </si>
  <si>
    <r>
      <rPr>
        <sz val="7"/>
        <rFont val="Calibri"/>
        <family val="2"/>
        <scheme val="minor"/>
      </rPr>
      <t>RODRIGUEZ AVENDAÑO CINTIA LIZETH</t>
    </r>
  </si>
  <si>
    <r>
      <rPr>
        <sz val="6"/>
        <rFont val="Calibri"/>
        <family val="2"/>
        <scheme val="minor"/>
      </rPr>
      <t>41</t>
    </r>
  </si>
  <si>
    <r>
      <rPr>
        <sz val="7"/>
        <rFont val="Calibri"/>
        <family val="2"/>
        <scheme val="minor"/>
      </rPr>
      <t>RODRIGUEZ CARRILLO CHRISTOPHER DANIEL</t>
    </r>
  </si>
  <si>
    <r>
      <rPr>
        <sz val="6"/>
        <rFont val="Calibri"/>
        <family val="2"/>
        <scheme val="minor"/>
      </rPr>
      <t>42</t>
    </r>
  </si>
  <si>
    <r>
      <rPr>
        <sz val="7"/>
        <rFont val="Calibri"/>
        <family val="2"/>
        <scheme val="minor"/>
      </rPr>
      <t>RODRIGUEZ CASTAÑEDA JOSUE SALVADOR</t>
    </r>
  </si>
  <si>
    <r>
      <rPr>
        <sz val="6"/>
        <rFont val="Calibri"/>
        <family val="2"/>
        <scheme val="minor"/>
      </rPr>
      <t>43</t>
    </r>
  </si>
  <si>
    <r>
      <rPr>
        <sz val="7"/>
        <rFont val="Calibri"/>
        <family val="2"/>
        <scheme val="minor"/>
      </rPr>
      <t>RODRIGUEZ LAZARO ALAN ANTONIO</t>
    </r>
  </si>
  <si>
    <r>
      <rPr>
        <sz val="6"/>
        <rFont val="Calibri"/>
        <family val="2"/>
        <scheme val="minor"/>
      </rPr>
      <t>44</t>
    </r>
  </si>
  <si>
    <r>
      <rPr>
        <sz val="7"/>
        <rFont val="Calibri"/>
        <family val="2"/>
        <scheme val="minor"/>
      </rPr>
      <t>RODRIGUEZ ORTIZ LITZI YUNUE</t>
    </r>
  </si>
  <si>
    <r>
      <rPr>
        <sz val="6"/>
        <rFont val="Calibri"/>
        <family val="2"/>
        <scheme val="minor"/>
      </rPr>
      <t>45</t>
    </r>
  </si>
  <si>
    <r>
      <rPr>
        <sz val="7"/>
        <rFont val="Calibri"/>
        <family val="2"/>
        <scheme val="minor"/>
      </rPr>
      <t>SALAS NAVARRO DANIEL ALBERTO</t>
    </r>
  </si>
  <si>
    <r>
      <rPr>
        <sz val="6"/>
        <rFont val="Calibri"/>
        <family val="2"/>
        <scheme val="minor"/>
      </rPr>
      <t>46</t>
    </r>
  </si>
  <si>
    <r>
      <rPr>
        <sz val="7"/>
        <rFont val="Calibri"/>
        <family val="2"/>
        <scheme val="minor"/>
      </rPr>
      <t>SANCHEZ GUTIERREZ FERCEO</t>
    </r>
  </si>
  <si>
    <r>
      <rPr>
        <sz val="6"/>
        <rFont val="Calibri"/>
        <family val="2"/>
        <scheme val="minor"/>
      </rPr>
      <t>47</t>
    </r>
  </si>
  <si>
    <r>
      <rPr>
        <sz val="7"/>
        <rFont val="Calibri"/>
        <family val="2"/>
        <scheme val="minor"/>
      </rPr>
      <t>SEVERIANO TENORIO LIZETH JOVITA</t>
    </r>
  </si>
  <si>
    <r>
      <rPr>
        <sz val="6"/>
        <rFont val="Calibri"/>
        <family val="2"/>
        <scheme val="minor"/>
      </rPr>
      <t>48</t>
    </r>
  </si>
  <si>
    <r>
      <rPr>
        <sz val="7"/>
        <rFont val="Calibri"/>
        <family val="2"/>
        <scheme val="minor"/>
      </rPr>
      <t>SOTELO TORRES MITZI JETZEMANI</t>
    </r>
  </si>
  <si>
    <r>
      <rPr>
        <sz val="6"/>
        <rFont val="Calibri"/>
        <family val="2"/>
        <scheme val="minor"/>
      </rPr>
      <t>49</t>
    </r>
  </si>
  <si>
    <r>
      <rPr>
        <sz val="7"/>
        <rFont val="Calibri"/>
        <family val="2"/>
        <scheme val="minor"/>
      </rPr>
      <t>TEJEDA PALMA GUSTAVO ANGEL</t>
    </r>
  </si>
  <si>
    <r>
      <rPr>
        <sz val="6"/>
        <rFont val="Calibri"/>
        <family val="2"/>
        <scheme val="minor"/>
      </rPr>
      <t>50</t>
    </r>
  </si>
  <si>
    <r>
      <rPr>
        <sz val="7"/>
        <rFont val="Calibri"/>
        <family val="2"/>
        <scheme val="minor"/>
      </rPr>
      <t>VARGAS GARDUÑO ARIADNA BERENICE</t>
    </r>
  </si>
  <si>
    <r>
      <rPr>
        <sz val="6"/>
        <rFont val="Calibri"/>
        <family val="2"/>
        <scheme val="minor"/>
      </rPr>
      <t>51</t>
    </r>
  </si>
  <si>
    <r>
      <rPr>
        <sz val="7"/>
        <rFont val="Calibri"/>
        <family val="2"/>
        <scheme val="minor"/>
      </rPr>
      <t>VAZQUEZ MENDEZ ERIKA</t>
    </r>
  </si>
  <si>
    <r>
      <rPr>
        <sz val="6"/>
        <rFont val="Calibri"/>
        <family val="2"/>
        <scheme val="minor"/>
      </rPr>
      <t>52</t>
    </r>
  </si>
  <si>
    <r>
      <rPr>
        <sz val="7"/>
        <rFont val="Calibri"/>
        <family val="2"/>
        <scheme val="minor"/>
      </rPr>
      <t>VAZQUEZ TEJADA ALAN DANIEL</t>
    </r>
  </si>
  <si>
    <r>
      <rPr>
        <sz val="6"/>
        <rFont val="Calibri"/>
        <family val="2"/>
        <scheme val="minor"/>
      </rPr>
      <t>53</t>
    </r>
  </si>
  <si>
    <r>
      <rPr>
        <sz val="7"/>
        <rFont val="Calibri"/>
        <family val="2"/>
        <scheme val="minor"/>
      </rPr>
      <t>VILLAVICENCIO LOPEZ ANA DANIELA</t>
    </r>
  </si>
  <si>
    <t>40</t>
  </si>
  <si>
    <t>41</t>
  </si>
  <si>
    <t>50</t>
  </si>
  <si>
    <t>ALFARO ANGEL AMERICA JOYCE</t>
  </si>
  <si>
    <t>ALFARO MONTES LUIS FERNANDO</t>
  </si>
  <si>
    <t>ALFARO NEQUIZ JOSUE</t>
  </si>
  <si>
    <t>ALVAREZ GONZALEZ JAQUELINE</t>
  </si>
  <si>
    <t>ALVAREZ OROPEZA ERICK MARTIN</t>
  </si>
  <si>
    <t>ARRIETA BUENDIA GABRIELA</t>
  </si>
  <si>
    <t>ARRIETA RAMIREZ JOSUE SALOMON</t>
  </si>
  <si>
    <t>BALTAZAR CERVANTES IVAN ALEJANDRO</t>
  </si>
  <si>
    <t>BARRERA HERNANDEZ LUIS ANGEL</t>
  </si>
  <si>
    <t>CABALLERO CRUZ GIOVANI URIEL</t>
  </si>
  <si>
    <t>CASTRO TENORIO ZAIRA</t>
  </si>
  <si>
    <t>CRUZ HERRERA YULEIMY GUADALUPE</t>
  </si>
  <si>
    <t>CRUZ LUNA ROSA ISELA</t>
  </si>
  <si>
    <t>DELGADO AVILA BEATRIZ ELIZABETH</t>
  </si>
  <si>
    <t>ESCAMILLA CARRASCO KEVIN ALEXIS</t>
  </si>
  <si>
    <t>FLORES LOPEZ JOSUE</t>
  </si>
  <si>
    <t>GALVAN BOCANEGRA MARIA ENRIQUETA</t>
  </si>
  <si>
    <t>GARCIA RAMIREZ MARCO ANTONIO</t>
  </si>
  <si>
    <t>GARCIA TENORIO MICHELLE</t>
  </si>
  <si>
    <t>GOMEZ VAZQUEZ CINDY DIANE</t>
  </si>
  <si>
    <t>GONZALEZ GARCIA BERENICE JAQUELINE</t>
  </si>
  <si>
    <t>GONZALEZ GONZALEZ LUIS PEDRO</t>
  </si>
  <si>
    <t>GUARNEROS BARRON JORGE CRISTIAN</t>
  </si>
  <si>
    <t>HERNANDEZ HERNANDEZ KARLA YOSELIN</t>
  </si>
  <si>
    <t>JAIMES PASTOR ZOVEK</t>
  </si>
  <si>
    <t>LOPEZ GOMEZ KAREN</t>
  </si>
  <si>
    <t>LOPEZ MONDRAGON ADAMARI</t>
  </si>
  <si>
    <t>LOPEZ PAZ LIZETH ALONDRA</t>
  </si>
  <si>
    <t>LUNA SANCHEZ DANIEL DE JESUS</t>
  </si>
  <si>
    <t>MARTINEZ FRANCISCO LIZETH</t>
  </si>
  <si>
    <t>MARTINEZ RAMIREZ YAIR DAVID</t>
  </si>
  <si>
    <t>MATEO VEGA MARIA FERNANDA</t>
  </si>
  <si>
    <t>MEJIA ACOSTA JOSE GERMAN</t>
  </si>
  <si>
    <t>MENDOZA CORTES KAREN LISEET</t>
  </si>
  <si>
    <t>MENDOZA MENDEZ BRANDON URIEL</t>
  </si>
  <si>
    <t>MENDOZA ORTEGA WENDY</t>
  </si>
  <si>
    <t>MONTERO QUEZADA VALERIA</t>
  </si>
  <si>
    <t>MORALES HERNANDEZ ANDREA MICHELLE</t>
  </si>
  <si>
    <t>MUÑOZ MIRANDA JESSICA INDIHUI</t>
  </si>
  <si>
    <t>PACHECO RODRIGUEZ MARIA DEL CARMEN</t>
  </si>
  <si>
    <t>PAEZ RODRIGUEZ DARIANA ITZEL</t>
  </si>
  <si>
    <t>PALMA MARTINEZ BRIAN GEOVANNI</t>
  </si>
  <si>
    <t>RIVERA PEREZ EDUARDO</t>
  </si>
  <si>
    <t>RIVERA VILLEGAS DIANA MARLENE</t>
  </si>
  <si>
    <t>RODRIGUEZ HERNANDEZ JESSICA</t>
  </si>
  <si>
    <t>R'JIZ MARTINEZ YOHANA ABIGAIL</t>
  </si>
  <si>
    <t>SALAZAR SALAZAR GUSTAVO</t>
  </si>
  <si>
    <t>SANCHEZ ROSALES EFREN DAVID</t>
  </si>
  <si>
    <t>VALVERDE JIMENEZ MARIA GUADALUPE</t>
  </si>
  <si>
    <t>VAZQUEZ REBOLLO HAZEL ALBERTO</t>
  </si>
  <si>
    <t>VILLAVICENCIO OVIEDO CARLOS</t>
  </si>
  <si>
    <t>T. Y T.</t>
  </si>
  <si>
    <t>T. EXTRA</t>
  </si>
  <si>
    <t>EXTRA P.</t>
  </si>
  <si>
    <t>CALIFICACIONES SEGUNDO BIMESTRE 1° "C"</t>
  </si>
  <si>
    <t>GONZALEZ NAZARIO CITLALLI ITZAMARAY</t>
  </si>
  <si>
    <t>ANGEL</t>
  </si>
  <si>
    <t>ALONDRA ZAFIRO</t>
  </si>
  <si>
    <t>CP 1</t>
  </si>
  <si>
    <t>CP 2</t>
  </si>
  <si>
    <t>CP L</t>
  </si>
  <si>
    <t>5TA S.</t>
  </si>
  <si>
    <t>4 S.</t>
  </si>
  <si>
    <t>TOTAL</t>
  </si>
  <si>
    <t>SUM</t>
  </si>
  <si>
    <t>EXTRAS</t>
  </si>
  <si>
    <t>SEM</t>
  </si>
  <si>
    <t>SEMANAS</t>
  </si>
  <si>
    <t>EDUARDO</t>
  </si>
  <si>
    <t>CALIFICACIONES CUARTO BIMESTRE 1° "E"</t>
  </si>
  <si>
    <t>CALIFICACIONES CUARTO BIMESTRE 1° "D"</t>
  </si>
  <si>
    <t>CALIFICACIONES CUARTO BIMESTRE 3° "C"</t>
  </si>
  <si>
    <t>CALIFICACIONES CUARTO BIMESTRE 3° "D"</t>
  </si>
  <si>
    <t>ALEIDIS</t>
  </si>
  <si>
    <t>HURI</t>
  </si>
  <si>
    <t>NUMERO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</si>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</sst>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b/>
      <sz val="14"/>
      <color rgb="FF000000"/>
      <name val="Calibri"/>
      <family val="2"/>
      <scheme val="minor"/>
    </font>
    <font>
      <sz val="8"/>
      <name val="Arial"/>
      <family val="2"/>
    </font>
    <font>
      <sz val="7"/>
      <name val="Calibri"/>
      <family val="2"/>
      <scheme val="minor"/>
    </font>
    <font>
      <b/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3">
    <xf numFmtId="0" fontId="0" fillId="0" borderId="0" xfId="0"/>
    <xf numFmtId="0" fontId="0" fillId="0" borderId="1" xfId="0" applyBorder="1" applyAlignment="1">
      <alignment horizontal="left"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6" fillId="0" borderId="0" xfId="1"/>
    <xf numFmtId="0" fontId="7" fillId="0" borderId="1" xfId="1" applyFont="1" applyBorder="1" applyAlignment="1">
      <alignment horizontal="left" indent="1"/>
    </xf>
    <xf numFmtId="0" fontId="7" fillId="0" borderId="1" xfId="1" applyFont="1" applyBorder="1" applyAlignment="1">
      <alignment horizontal="left"/>
    </xf>
    <xf numFmtId="0" fontId="7" fillId="0" borderId="1" xfId="1" applyFont="1" applyBorder="1" applyAlignment="1">
      <alignment horizontal="center"/>
    </xf>
    <xf numFmtId="0" fontId="7" fillId="0" borderId="1" xfId="1" applyFont="1" applyBorder="1" applyAlignment="1">
      <alignment horizontal="left" vertical="top" indent="1"/>
    </xf>
    <xf numFmtId="0" fontId="7" fillId="0" borderId="1" xfId="1" applyFont="1" applyBorder="1" applyAlignment="1">
      <alignment horizontal="left" vertical="top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horizontal="right"/>
    </xf>
    <xf numFmtId="0" fontId="7" fillId="0" borderId="1" xfId="1" applyFont="1" applyBorder="1" applyAlignment="1">
      <alignment horizontal="right" vertical="top"/>
    </xf>
    <xf numFmtId="0" fontId="3" fillId="0" borderId="1" xfId="1" applyFont="1" applyBorder="1" applyAlignment="1">
      <alignment horizontal="left"/>
    </xf>
    <xf numFmtId="0" fontId="3" fillId="0" borderId="1" xfId="1" applyFont="1" applyBorder="1" applyAlignment="1"/>
    <xf numFmtId="0" fontId="3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 vertical="center"/>
    </xf>
    <xf numFmtId="0" fontId="0" fillId="0" borderId="3" xfId="0" applyFill="1" applyBorder="1" applyAlignment="1">
      <alignment horizontal="left" vertical="top"/>
    </xf>
    <xf numFmtId="0" fontId="2" fillId="0" borderId="4" xfId="0" applyFont="1" applyBorder="1" applyAlignment="1">
      <alignment vertical="top"/>
    </xf>
    <xf numFmtId="0" fontId="0" fillId="0" borderId="4" xfId="0" applyBorder="1" applyAlignment="1">
      <alignment horizontal="left" vertical="top"/>
    </xf>
    <xf numFmtId="0" fontId="4" fillId="2" borderId="2" xfId="0" applyFont="1" applyFill="1" applyBorder="1" applyAlignment="1">
      <alignment vertical="top"/>
    </xf>
    <xf numFmtId="0" fontId="0" fillId="2" borderId="2" xfId="0" applyFill="1" applyBorder="1" applyAlignment="1">
      <alignment horizontal="left" vertical="top"/>
    </xf>
    <xf numFmtId="0" fontId="0" fillId="0" borderId="1" xfId="0" applyBorder="1"/>
    <xf numFmtId="0" fontId="6" fillId="0" borderId="1" xfId="1" applyBorder="1"/>
    <xf numFmtId="0" fontId="7" fillId="0" borderId="5" xfId="1" applyFont="1" applyBorder="1" applyAlignment="1">
      <alignment horizontal="left"/>
    </xf>
    <xf numFmtId="0" fontId="3" fillId="3" borderId="1" xfId="1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top"/>
    </xf>
    <xf numFmtId="0" fontId="5" fillId="0" borderId="1" xfId="0" applyFont="1" applyBorder="1" applyAlignment="1">
      <alignment horizontal="left" vertical="center"/>
    </xf>
    <xf numFmtId="0" fontId="1" fillId="0" borderId="0" xfId="0" applyFont="1" applyBorder="1" applyAlignment="1"/>
    <xf numFmtId="0" fontId="9" fillId="4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7" fillId="4" borderId="1" xfId="1" applyFont="1" applyFill="1" applyBorder="1" applyAlignment="1">
      <alignment horizontal="left" indent="1"/>
    </xf>
    <xf numFmtId="0" fontId="7" fillId="4" borderId="1" xfId="1" applyFont="1" applyFill="1" applyBorder="1" applyAlignment="1">
      <alignment horizontal="left" vertical="top"/>
    </xf>
    <xf numFmtId="0" fontId="7" fillId="4" borderId="1" xfId="1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left"/>
    </xf>
    <xf numFmtId="0" fontId="3" fillId="4" borderId="1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1" applyBorder="1" applyAlignment="1">
      <alignment horizontal="center" vertical="center"/>
    </xf>
    <xf numFmtId="0" fontId="6" fillId="16" borderId="1" xfId="0" applyFont="1" applyFill="1" applyBorder="1" applyAlignment="1">
      <alignment horizontal="center"/>
    </xf>
    <xf numFmtId="0" fontId="6" fillId="16" borderId="1" xfId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60"/>
  <sheetViews>
    <sheetView workbookViewId="0">
      <selection activeCell="M4" sqref="M4"/>
    </sheetView>
  </sheetViews>
  <sheetFormatPr baseColWidth="10" defaultRowHeight="12.75" x14ac:dyDescent="0.2"/>
  <cols>
    <col min="1" max="1" width="2.42578125" bestFit="1" customWidth="1"/>
    <col min="2" max="2" width="2.7109375" bestFit="1" customWidth="1"/>
    <col min="3" max="3" width="31.140625" bestFit="1" customWidth="1"/>
    <col min="4" max="6" width="5.140625" bestFit="1" customWidth="1"/>
    <col min="7" max="7" width="7" bestFit="1" customWidth="1"/>
    <col min="8" max="9" width="7.5703125" bestFit="1" customWidth="1"/>
    <col min="10" max="10" width="4.85546875" bestFit="1" customWidth="1"/>
    <col min="11" max="11" width="5.5703125" bestFit="1" customWidth="1"/>
    <col min="12" max="12" width="4.28515625" bestFit="1" customWidth="1"/>
    <col min="13" max="13" width="5.42578125" bestFit="1" customWidth="1"/>
    <col min="14" max="25" width="3"/>
  </cols>
  <sheetData>
    <row r="1" spans="1:10" ht="19.5" thickBot="1" x14ac:dyDescent="0.35">
      <c r="A1" s="47" t="s">
        <v>464</v>
      </c>
      <c r="B1" s="47"/>
      <c r="C1" s="47"/>
      <c r="D1" s="47"/>
      <c r="E1" s="47"/>
      <c r="F1" s="47"/>
      <c r="G1" s="47"/>
      <c r="H1" s="47"/>
      <c r="I1" s="47"/>
      <c r="J1" s="47"/>
    </row>
    <row r="2" spans="1:10" ht="14.25" thickTop="1" thickBot="1" x14ac:dyDescent="0.25">
      <c r="A2" s="3" t="s">
        <v>52</v>
      </c>
      <c r="B2" s="3" t="s">
        <v>53</v>
      </c>
      <c r="C2" s="4" t="s">
        <v>54</v>
      </c>
      <c r="D2" s="2" t="s">
        <v>112</v>
      </c>
      <c r="E2" s="2" t="s">
        <v>113</v>
      </c>
      <c r="F2" s="2" t="s">
        <v>461</v>
      </c>
      <c r="G2" s="23" t="s">
        <v>0</v>
      </c>
      <c r="H2" s="21" t="s">
        <v>462</v>
      </c>
      <c r="I2" s="21" t="s">
        <v>463</v>
      </c>
      <c r="J2" s="23" t="s">
        <v>0</v>
      </c>
    </row>
    <row r="3" spans="1:10" ht="14.25" thickTop="1" thickBot="1" x14ac:dyDescent="0.25">
      <c r="A3" s="5"/>
      <c r="B3" s="5" t="s">
        <v>111</v>
      </c>
      <c r="C3" s="5" t="s">
        <v>1</v>
      </c>
      <c r="D3" s="1">
        <v>8</v>
      </c>
      <c r="E3" s="1">
        <v>6</v>
      </c>
      <c r="F3" s="1">
        <v>4</v>
      </c>
      <c r="G3" s="24">
        <f>(D3/10)+(E3/10)+F3</f>
        <v>5.4</v>
      </c>
      <c r="H3" s="22">
        <v>1</v>
      </c>
      <c r="I3" s="22">
        <v>0.4</v>
      </c>
      <c r="J3" s="23">
        <f>G3+H3+I3</f>
        <v>6.8000000000000007</v>
      </c>
    </row>
    <row r="4" spans="1:10" ht="14.25" thickTop="1" thickBot="1" x14ac:dyDescent="0.25">
      <c r="A4" s="3" t="s">
        <v>55</v>
      </c>
      <c r="B4" s="5"/>
      <c r="C4" s="5" t="s">
        <v>2</v>
      </c>
      <c r="D4" s="1">
        <v>6</v>
      </c>
      <c r="E4" s="1">
        <v>6</v>
      </c>
      <c r="F4" s="1">
        <v>3.6</v>
      </c>
      <c r="G4" s="24">
        <f t="shared" ref="G4:G59" si="0">(D4/10)+(E4/10)+F4</f>
        <v>4.8</v>
      </c>
      <c r="H4" s="22">
        <v>0</v>
      </c>
      <c r="I4" s="22">
        <v>0.6</v>
      </c>
      <c r="J4" s="23">
        <f t="shared" ref="J4:J59" si="1">G4+H4+I4</f>
        <v>5.3999999999999995</v>
      </c>
    </row>
    <row r="5" spans="1:10" ht="14.25" thickTop="1" thickBot="1" x14ac:dyDescent="0.25">
      <c r="A5" s="5" t="s">
        <v>56</v>
      </c>
      <c r="B5" s="5"/>
      <c r="C5" s="5" t="s">
        <v>3</v>
      </c>
      <c r="D5" s="1">
        <v>7</v>
      </c>
      <c r="E5" s="1">
        <v>5</v>
      </c>
      <c r="F5" s="1">
        <v>4</v>
      </c>
      <c r="G5" s="24">
        <f t="shared" si="0"/>
        <v>5.2</v>
      </c>
      <c r="H5" s="22">
        <v>0.5</v>
      </c>
      <c r="I5" s="22">
        <v>0.8</v>
      </c>
      <c r="J5" s="23">
        <f t="shared" si="1"/>
        <v>6.5</v>
      </c>
    </row>
    <row r="6" spans="1:10" ht="14.25" thickTop="1" thickBot="1" x14ac:dyDescent="0.25">
      <c r="A6" s="5"/>
      <c r="B6" s="5" t="s">
        <v>57</v>
      </c>
      <c r="C6" s="5" t="s">
        <v>4</v>
      </c>
      <c r="D6" s="1">
        <v>8</v>
      </c>
      <c r="E6" s="1">
        <v>9</v>
      </c>
      <c r="F6" s="1">
        <v>4</v>
      </c>
      <c r="G6" s="24">
        <f t="shared" si="0"/>
        <v>5.7</v>
      </c>
      <c r="H6" s="22">
        <v>0.5</v>
      </c>
      <c r="I6" s="22">
        <v>1.5</v>
      </c>
      <c r="J6" s="23">
        <f t="shared" si="1"/>
        <v>7.7</v>
      </c>
    </row>
    <row r="7" spans="1:10" ht="14.25" thickTop="1" thickBot="1" x14ac:dyDescent="0.25">
      <c r="A7" s="5"/>
      <c r="B7" s="5" t="s">
        <v>58</v>
      </c>
      <c r="C7" s="5" t="s">
        <v>5</v>
      </c>
      <c r="D7" s="1">
        <v>8</v>
      </c>
      <c r="E7" s="1">
        <v>9</v>
      </c>
      <c r="F7" s="1">
        <v>4</v>
      </c>
      <c r="G7" s="24">
        <f t="shared" si="0"/>
        <v>5.7</v>
      </c>
      <c r="H7" s="22">
        <v>0.5</v>
      </c>
      <c r="I7" s="22">
        <v>2.1</v>
      </c>
      <c r="J7" s="23">
        <f t="shared" si="1"/>
        <v>8.3000000000000007</v>
      </c>
    </row>
    <row r="8" spans="1:10" ht="14.25" thickTop="1" thickBot="1" x14ac:dyDescent="0.25">
      <c r="A8" s="6" t="s">
        <v>59</v>
      </c>
      <c r="B8" s="5"/>
      <c r="C8" s="5" t="s">
        <v>6</v>
      </c>
      <c r="D8" s="1">
        <v>8</v>
      </c>
      <c r="E8" s="1">
        <v>8</v>
      </c>
      <c r="F8" s="1">
        <v>3.4</v>
      </c>
      <c r="G8" s="24">
        <f t="shared" si="0"/>
        <v>5</v>
      </c>
      <c r="H8" s="22">
        <v>0.5</v>
      </c>
      <c r="I8" s="22">
        <v>1.5</v>
      </c>
      <c r="J8" s="23">
        <f t="shared" si="1"/>
        <v>7</v>
      </c>
    </row>
    <row r="9" spans="1:10" ht="14.25" thickTop="1" thickBot="1" x14ac:dyDescent="0.25">
      <c r="A9" s="5"/>
      <c r="B9" s="5" t="s">
        <v>60</v>
      </c>
      <c r="C9" s="5" t="s">
        <v>7</v>
      </c>
      <c r="D9" s="1">
        <v>6</v>
      </c>
      <c r="E9" s="1">
        <v>3</v>
      </c>
      <c r="F9" s="1">
        <v>3.2</v>
      </c>
      <c r="G9" s="24">
        <f t="shared" si="0"/>
        <v>4.0999999999999996</v>
      </c>
      <c r="H9" s="22">
        <v>0</v>
      </c>
      <c r="I9" s="22">
        <v>0</v>
      </c>
      <c r="J9" s="23">
        <f t="shared" si="1"/>
        <v>4.0999999999999996</v>
      </c>
    </row>
    <row r="10" spans="1:10" ht="14.25" thickTop="1" thickBot="1" x14ac:dyDescent="0.25">
      <c r="A10" s="5"/>
      <c r="B10" s="6" t="s">
        <v>61</v>
      </c>
      <c r="C10" s="5" t="s">
        <v>8</v>
      </c>
      <c r="D10" s="1">
        <v>4</v>
      </c>
      <c r="E10" s="1">
        <v>5</v>
      </c>
      <c r="F10" s="1">
        <v>3.5</v>
      </c>
      <c r="G10" s="24">
        <f t="shared" si="0"/>
        <v>4.4000000000000004</v>
      </c>
      <c r="H10" s="22">
        <v>0</v>
      </c>
      <c r="I10" s="22">
        <v>0.5</v>
      </c>
      <c r="J10" s="23">
        <f t="shared" si="1"/>
        <v>4.9000000000000004</v>
      </c>
    </row>
    <row r="11" spans="1:10" ht="14.25" thickTop="1" thickBot="1" x14ac:dyDescent="0.25">
      <c r="A11" s="5"/>
      <c r="B11" s="5" t="s">
        <v>62</v>
      </c>
      <c r="C11" s="5" t="s">
        <v>9</v>
      </c>
      <c r="D11" s="1">
        <v>5</v>
      </c>
      <c r="E11" s="1">
        <v>4</v>
      </c>
      <c r="F11" s="1">
        <v>4</v>
      </c>
      <c r="G11" s="24">
        <f t="shared" si="0"/>
        <v>4.9000000000000004</v>
      </c>
      <c r="H11" s="22">
        <v>0.5</v>
      </c>
      <c r="I11" s="22">
        <v>1.3</v>
      </c>
      <c r="J11" s="23">
        <f t="shared" si="1"/>
        <v>6.7</v>
      </c>
    </row>
    <row r="12" spans="1:10" ht="14.25" thickTop="1" thickBot="1" x14ac:dyDescent="0.25">
      <c r="A12" s="5"/>
      <c r="B12" s="6" t="s">
        <v>63</v>
      </c>
      <c r="C12" s="5" t="s">
        <v>10</v>
      </c>
      <c r="D12" s="1">
        <v>8</v>
      </c>
      <c r="E12" s="1">
        <v>9</v>
      </c>
      <c r="F12" s="1">
        <v>4</v>
      </c>
      <c r="G12" s="24">
        <f t="shared" si="0"/>
        <v>5.7</v>
      </c>
      <c r="H12" s="22">
        <v>0</v>
      </c>
      <c r="I12" s="22">
        <v>3.1</v>
      </c>
      <c r="J12" s="23">
        <f t="shared" si="1"/>
        <v>8.8000000000000007</v>
      </c>
    </row>
    <row r="13" spans="1:10" ht="14.25" thickTop="1" thickBot="1" x14ac:dyDescent="0.25">
      <c r="A13" s="3" t="s">
        <v>64</v>
      </c>
      <c r="B13" s="5"/>
      <c r="C13" s="5" t="s">
        <v>11</v>
      </c>
      <c r="D13" s="1">
        <v>7</v>
      </c>
      <c r="E13" s="1">
        <v>8</v>
      </c>
      <c r="F13" s="1">
        <v>3.8</v>
      </c>
      <c r="G13" s="24">
        <f t="shared" si="0"/>
        <v>5.3</v>
      </c>
      <c r="H13" s="22">
        <v>0</v>
      </c>
      <c r="I13" s="22">
        <v>0.4</v>
      </c>
      <c r="J13" s="23">
        <f t="shared" si="1"/>
        <v>5.7</v>
      </c>
    </row>
    <row r="14" spans="1:10" ht="14.25" thickTop="1" thickBot="1" x14ac:dyDescent="0.25">
      <c r="A14" s="6" t="s">
        <v>65</v>
      </c>
      <c r="B14" s="5"/>
      <c r="C14" s="5" t="s">
        <v>114</v>
      </c>
      <c r="D14" s="1">
        <v>6</v>
      </c>
      <c r="E14" s="1">
        <v>6</v>
      </c>
      <c r="F14" s="1">
        <v>3.5</v>
      </c>
      <c r="G14" s="24">
        <f t="shared" si="0"/>
        <v>4.7</v>
      </c>
      <c r="H14" s="22">
        <v>0</v>
      </c>
      <c r="I14" s="22">
        <v>0.9</v>
      </c>
      <c r="J14" s="23">
        <f t="shared" si="1"/>
        <v>5.6000000000000005</v>
      </c>
    </row>
    <row r="15" spans="1:10" ht="14.25" thickTop="1" thickBot="1" x14ac:dyDescent="0.25">
      <c r="A15" s="5" t="s">
        <v>66</v>
      </c>
      <c r="B15" s="5"/>
      <c r="C15" s="5" t="s">
        <v>12</v>
      </c>
      <c r="D15" s="1">
        <v>7</v>
      </c>
      <c r="E15" s="1">
        <v>5</v>
      </c>
      <c r="F15" s="1">
        <v>4</v>
      </c>
      <c r="G15" s="24">
        <f t="shared" si="0"/>
        <v>5.2</v>
      </c>
      <c r="H15" s="22">
        <v>0.5</v>
      </c>
      <c r="I15" s="22">
        <v>1</v>
      </c>
      <c r="J15" s="23">
        <f t="shared" si="1"/>
        <v>6.7</v>
      </c>
    </row>
    <row r="16" spans="1:10" ht="14.25" thickTop="1" thickBot="1" x14ac:dyDescent="0.25">
      <c r="A16" s="5"/>
      <c r="B16" s="5" t="s">
        <v>67</v>
      </c>
      <c r="C16" s="5" t="s">
        <v>13</v>
      </c>
      <c r="D16" s="1">
        <v>8</v>
      </c>
      <c r="E16" s="1">
        <v>9</v>
      </c>
      <c r="F16" s="1">
        <v>4</v>
      </c>
      <c r="G16" s="24">
        <f t="shared" si="0"/>
        <v>5.7</v>
      </c>
      <c r="H16" s="22">
        <v>0.5</v>
      </c>
      <c r="I16" s="22">
        <v>3.5</v>
      </c>
      <c r="J16" s="23">
        <f t="shared" si="1"/>
        <v>9.6999999999999993</v>
      </c>
    </row>
    <row r="17" spans="1:10" ht="14.25" thickTop="1" thickBot="1" x14ac:dyDescent="0.25">
      <c r="A17" s="5" t="s">
        <v>68</v>
      </c>
      <c r="B17" s="5"/>
      <c r="C17" s="5" t="s">
        <v>14</v>
      </c>
      <c r="D17" s="1">
        <v>7</v>
      </c>
      <c r="E17" s="1">
        <v>5</v>
      </c>
      <c r="F17" s="1">
        <v>3.6</v>
      </c>
      <c r="G17" s="24">
        <f t="shared" si="0"/>
        <v>4.8</v>
      </c>
      <c r="H17" s="22">
        <v>0.5</v>
      </c>
      <c r="I17" s="22">
        <v>1.8</v>
      </c>
      <c r="J17" s="23">
        <f t="shared" si="1"/>
        <v>7.1</v>
      </c>
    </row>
    <row r="18" spans="1:10" ht="14.25" thickTop="1" thickBot="1" x14ac:dyDescent="0.25">
      <c r="A18" s="3" t="s">
        <v>69</v>
      </c>
      <c r="B18" s="5"/>
      <c r="C18" s="5" t="s">
        <v>15</v>
      </c>
      <c r="D18" s="1">
        <v>7</v>
      </c>
      <c r="E18" s="1">
        <v>5</v>
      </c>
      <c r="F18" s="1">
        <v>3.9</v>
      </c>
      <c r="G18" s="24">
        <f t="shared" si="0"/>
        <v>5.0999999999999996</v>
      </c>
      <c r="H18" s="22">
        <v>0.5</v>
      </c>
      <c r="I18" s="22">
        <v>1.3</v>
      </c>
      <c r="J18" s="23">
        <f t="shared" si="1"/>
        <v>6.8999999999999995</v>
      </c>
    </row>
    <row r="19" spans="1:10" ht="14.25" thickTop="1" thickBot="1" x14ac:dyDescent="0.25">
      <c r="A19" s="5"/>
      <c r="B19" s="5" t="s">
        <v>70</v>
      </c>
      <c r="C19" s="5" t="s">
        <v>16</v>
      </c>
      <c r="D19" s="1">
        <v>7</v>
      </c>
      <c r="E19" s="1">
        <v>6</v>
      </c>
      <c r="F19" s="1">
        <v>3.9</v>
      </c>
      <c r="G19" s="24">
        <f t="shared" si="0"/>
        <v>5.1999999999999993</v>
      </c>
      <c r="H19" s="22">
        <v>0</v>
      </c>
      <c r="I19" s="22">
        <v>0.4</v>
      </c>
      <c r="J19" s="23">
        <f t="shared" si="1"/>
        <v>5.6</v>
      </c>
    </row>
    <row r="20" spans="1:10" ht="14.25" thickTop="1" thickBot="1" x14ac:dyDescent="0.25">
      <c r="A20" s="5"/>
      <c r="B20" s="6" t="s">
        <v>71</v>
      </c>
      <c r="C20" s="5" t="s">
        <v>17</v>
      </c>
      <c r="D20" s="1">
        <v>4</v>
      </c>
      <c r="E20" s="1">
        <v>6</v>
      </c>
      <c r="F20" s="1">
        <v>3.9</v>
      </c>
      <c r="G20" s="24">
        <f t="shared" si="0"/>
        <v>4.9000000000000004</v>
      </c>
      <c r="H20" s="22">
        <v>0.5</v>
      </c>
      <c r="I20" s="22">
        <v>0.5</v>
      </c>
      <c r="J20" s="23">
        <f t="shared" si="1"/>
        <v>5.9</v>
      </c>
    </row>
    <row r="21" spans="1:10" ht="14.25" thickTop="1" thickBot="1" x14ac:dyDescent="0.25">
      <c r="A21" s="5"/>
      <c r="B21" s="5" t="s">
        <v>72</v>
      </c>
      <c r="C21" s="5" t="s">
        <v>18</v>
      </c>
      <c r="D21" s="1">
        <v>7</v>
      </c>
      <c r="E21" s="1">
        <v>6</v>
      </c>
      <c r="F21" s="1">
        <v>3.9</v>
      </c>
      <c r="G21" s="24">
        <f t="shared" si="0"/>
        <v>5.1999999999999993</v>
      </c>
      <c r="H21" s="22">
        <v>0.5</v>
      </c>
      <c r="I21" s="22">
        <v>2.5</v>
      </c>
      <c r="J21" s="23">
        <f t="shared" si="1"/>
        <v>8.1999999999999993</v>
      </c>
    </row>
    <row r="22" spans="1:10" ht="14.25" thickTop="1" thickBot="1" x14ac:dyDescent="0.25">
      <c r="A22" s="3" t="s">
        <v>73</v>
      </c>
      <c r="B22" s="5"/>
      <c r="C22" s="5" t="s">
        <v>19</v>
      </c>
      <c r="D22" s="1">
        <v>3</v>
      </c>
      <c r="E22" s="1">
        <v>5</v>
      </c>
      <c r="F22" s="1">
        <v>4</v>
      </c>
      <c r="G22" s="24">
        <f t="shared" si="0"/>
        <v>4.8</v>
      </c>
      <c r="H22" s="22">
        <v>0.5</v>
      </c>
      <c r="I22" s="22">
        <v>2.1</v>
      </c>
      <c r="J22" s="23">
        <f t="shared" si="1"/>
        <v>7.4</v>
      </c>
    </row>
    <row r="23" spans="1:10" ht="14.25" thickTop="1" thickBot="1" x14ac:dyDescent="0.25">
      <c r="A23" s="6" t="s">
        <v>74</v>
      </c>
      <c r="B23" s="5"/>
      <c r="C23" s="5" t="s">
        <v>20</v>
      </c>
      <c r="D23" s="1">
        <v>6</v>
      </c>
      <c r="E23" s="1">
        <v>8</v>
      </c>
      <c r="F23" s="1">
        <v>3.9</v>
      </c>
      <c r="G23" s="24">
        <f t="shared" si="0"/>
        <v>5.3</v>
      </c>
      <c r="H23" s="22">
        <v>0.5</v>
      </c>
      <c r="I23" s="22">
        <v>1.8</v>
      </c>
      <c r="J23" s="23">
        <f t="shared" si="1"/>
        <v>7.6</v>
      </c>
    </row>
    <row r="24" spans="1:10" ht="14.25" thickTop="1" thickBot="1" x14ac:dyDescent="0.25">
      <c r="A24" s="6" t="s">
        <v>75</v>
      </c>
      <c r="B24" s="5"/>
      <c r="C24" s="5" t="s">
        <v>21</v>
      </c>
      <c r="D24" s="1">
        <v>8</v>
      </c>
      <c r="E24" s="1">
        <v>7</v>
      </c>
      <c r="F24" s="1">
        <v>3.9</v>
      </c>
      <c r="G24" s="24">
        <f t="shared" si="0"/>
        <v>5.4</v>
      </c>
      <c r="H24" s="22">
        <v>0.5</v>
      </c>
      <c r="I24" s="22">
        <v>1.1000000000000001</v>
      </c>
      <c r="J24" s="23">
        <f t="shared" si="1"/>
        <v>7</v>
      </c>
    </row>
    <row r="25" spans="1:10" ht="14.25" thickTop="1" thickBot="1" x14ac:dyDescent="0.25">
      <c r="A25" s="5" t="s">
        <v>76</v>
      </c>
      <c r="B25" s="5"/>
      <c r="C25" s="5" t="s">
        <v>22</v>
      </c>
      <c r="D25" s="1">
        <v>5</v>
      </c>
      <c r="E25" s="1">
        <v>5</v>
      </c>
      <c r="F25" s="1">
        <v>3.6</v>
      </c>
      <c r="G25" s="24">
        <f t="shared" si="0"/>
        <v>4.5999999999999996</v>
      </c>
      <c r="H25" s="22">
        <v>0.5</v>
      </c>
      <c r="I25" s="22">
        <v>0.7</v>
      </c>
      <c r="J25" s="23">
        <f t="shared" si="1"/>
        <v>5.8</v>
      </c>
    </row>
    <row r="26" spans="1:10" ht="14.25" thickTop="1" thickBot="1" x14ac:dyDescent="0.25">
      <c r="A26" s="5" t="s">
        <v>77</v>
      </c>
      <c r="B26" s="5"/>
      <c r="C26" s="5" t="s">
        <v>23</v>
      </c>
      <c r="D26" s="1">
        <v>4</v>
      </c>
      <c r="E26" s="1">
        <v>7</v>
      </c>
      <c r="F26" s="1">
        <v>4</v>
      </c>
      <c r="G26" s="24">
        <f t="shared" si="0"/>
        <v>5.0999999999999996</v>
      </c>
      <c r="H26" s="22">
        <v>0</v>
      </c>
      <c r="I26" s="22">
        <v>0.4</v>
      </c>
      <c r="J26" s="23">
        <f t="shared" si="1"/>
        <v>5.5</v>
      </c>
    </row>
    <row r="27" spans="1:10" ht="14.25" thickTop="1" thickBot="1" x14ac:dyDescent="0.25">
      <c r="A27" s="5" t="s">
        <v>78</v>
      </c>
      <c r="B27" s="5"/>
      <c r="C27" s="5" t="s">
        <v>24</v>
      </c>
      <c r="D27" s="1">
        <v>4</v>
      </c>
      <c r="E27" s="1">
        <v>6</v>
      </c>
      <c r="F27" s="1">
        <v>4</v>
      </c>
      <c r="G27" s="24">
        <f t="shared" si="0"/>
        <v>5</v>
      </c>
      <c r="H27" s="22">
        <v>0.5</v>
      </c>
      <c r="I27" s="22">
        <v>0.4</v>
      </c>
      <c r="J27" s="23">
        <f t="shared" si="1"/>
        <v>5.9</v>
      </c>
    </row>
    <row r="28" spans="1:10" ht="14.25" thickTop="1" thickBot="1" x14ac:dyDescent="0.25">
      <c r="A28" s="6" t="s">
        <v>79</v>
      </c>
      <c r="B28" s="5"/>
      <c r="C28" s="5" t="s">
        <v>25</v>
      </c>
      <c r="D28" s="1">
        <v>5</v>
      </c>
      <c r="E28" s="1">
        <v>6</v>
      </c>
      <c r="F28" s="1">
        <v>3.8</v>
      </c>
      <c r="G28" s="24">
        <f t="shared" si="0"/>
        <v>4.9000000000000004</v>
      </c>
      <c r="H28" s="22">
        <v>0</v>
      </c>
      <c r="I28" s="22"/>
      <c r="J28" s="23">
        <f t="shared" si="1"/>
        <v>4.9000000000000004</v>
      </c>
    </row>
    <row r="29" spans="1:10" ht="14.25" thickTop="1" thickBot="1" x14ac:dyDescent="0.25">
      <c r="A29" s="5" t="s">
        <v>80</v>
      </c>
      <c r="B29" s="5"/>
      <c r="C29" s="5" t="s">
        <v>26</v>
      </c>
      <c r="D29" s="1">
        <v>7</v>
      </c>
      <c r="E29" s="1">
        <v>5</v>
      </c>
      <c r="F29" s="1">
        <v>3.9</v>
      </c>
      <c r="G29" s="24">
        <f t="shared" si="0"/>
        <v>5.0999999999999996</v>
      </c>
      <c r="H29" s="22">
        <v>0</v>
      </c>
      <c r="I29" s="22">
        <v>1.1000000000000001</v>
      </c>
      <c r="J29" s="23">
        <f t="shared" si="1"/>
        <v>6.1999999999999993</v>
      </c>
    </row>
    <row r="30" spans="1:10" ht="14.25" thickTop="1" thickBot="1" x14ac:dyDescent="0.25">
      <c r="A30" s="6" t="s">
        <v>81</v>
      </c>
      <c r="B30" s="5"/>
      <c r="C30" s="5" t="s">
        <v>27</v>
      </c>
      <c r="D30" s="1">
        <v>6</v>
      </c>
      <c r="E30" s="1">
        <v>6</v>
      </c>
      <c r="F30" s="1">
        <v>4</v>
      </c>
      <c r="G30" s="24">
        <f t="shared" si="0"/>
        <v>5.2</v>
      </c>
      <c r="H30" s="22">
        <v>0.5</v>
      </c>
      <c r="I30" s="22">
        <v>1.7</v>
      </c>
      <c r="J30" s="23">
        <f t="shared" si="1"/>
        <v>7.4</v>
      </c>
    </row>
    <row r="31" spans="1:10" ht="14.25" thickTop="1" thickBot="1" x14ac:dyDescent="0.25">
      <c r="A31" s="5" t="s">
        <v>82</v>
      </c>
      <c r="B31" s="5"/>
      <c r="C31" s="5" t="s">
        <v>28</v>
      </c>
      <c r="D31" s="1">
        <v>7</v>
      </c>
      <c r="E31" s="1">
        <v>6</v>
      </c>
      <c r="F31" s="1">
        <v>3.5</v>
      </c>
      <c r="G31" s="24">
        <f t="shared" si="0"/>
        <v>4.8</v>
      </c>
      <c r="H31" s="22">
        <v>0</v>
      </c>
      <c r="I31" s="22">
        <v>0.6</v>
      </c>
      <c r="J31" s="23">
        <f t="shared" si="1"/>
        <v>5.3999999999999995</v>
      </c>
    </row>
    <row r="32" spans="1:10" ht="14.25" thickTop="1" thickBot="1" x14ac:dyDescent="0.25">
      <c r="A32" s="5"/>
      <c r="B32" s="5" t="s">
        <v>83</v>
      </c>
      <c r="C32" s="5" t="s">
        <v>29</v>
      </c>
      <c r="D32" s="1">
        <v>7</v>
      </c>
      <c r="E32" s="1">
        <v>5</v>
      </c>
      <c r="F32" s="1">
        <v>4</v>
      </c>
      <c r="G32" s="24">
        <f t="shared" si="0"/>
        <v>5.2</v>
      </c>
      <c r="H32" s="22">
        <v>0.5</v>
      </c>
      <c r="I32" s="22">
        <v>1.1000000000000001</v>
      </c>
      <c r="J32" s="23">
        <f t="shared" si="1"/>
        <v>6.8000000000000007</v>
      </c>
    </row>
    <row r="33" spans="1:10" ht="14.25" thickTop="1" thickBot="1" x14ac:dyDescent="0.25">
      <c r="A33" s="5"/>
      <c r="B33" s="5" t="s">
        <v>84</v>
      </c>
      <c r="C33" s="5" t="s">
        <v>30</v>
      </c>
      <c r="D33" s="1">
        <v>2</v>
      </c>
      <c r="E33" s="1">
        <v>6</v>
      </c>
      <c r="F33" s="1">
        <v>4</v>
      </c>
      <c r="G33" s="24">
        <f t="shared" si="0"/>
        <v>4.8</v>
      </c>
      <c r="H33" s="22">
        <v>0.5</v>
      </c>
      <c r="I33" s="22">
        <v>0.6</v>
      </c>
      <c r="J33" s="23">
        <f t="shared" si="1"/>
        <v>5.8999999999999995</v>
      </c>
    </row>
    <row r="34" spans="1:10" ht="14.25" thickTop="1" thickBot="1" x14ac:dyDescent="0.25">
      <c r="A34" s="5" t="s">
        <v>85</v>
      </c>
      <c r="B34" s="5"/>
      <c r="C34" s="5" t="s">
        <v>31</v>
      </c>
      <c r="D34" s="1">
        <v>7</v>
      </c>
      <c r="E34" s="1">
        <v>0</v>
      </c>
      <c r="F34" s="1">
        <v>3.9</v>
      </c>
      <c r="G34" s="24">
        <f t="shared" si="0"/>
        <v>4.5999999999999996</v>
      </c>
      <c r="H34" s="22">
        <v>0.5</v>
      </c>
      <c r="I34" s="22">
        <v>0.7</v>
      </c>
      <c r="J34" s="23">
        <f t="shared" si="1"/>
        <v>5.8</v>
      </c>
    </row>
    <row r="35" spans="1:10" ht="14.25" thickTop="1" thickBot="1" x14ac:dyDescent="0.25">
      <c r="A35" s="5" t="s">
        <v>86</v>
      </c>
      <c r="B35" s="5"/>
      <c r="C35" s="5" t="s">
        <v>32</v>
      </c>
      <c r="D35" s="1">
        <v>0</v>
      </c>
      <c r="E35" s="1">
        <v>0</v>
      </c>
      <c r="F35" s="1">
        <v>0</v>
      </c>
      <c r="G35" s="24">
        <f t="shared" si="0"/>
        <v>0</v>
      </c>
      <c r="H35" s="22">
        <v>0</v>
      </c>
      <c r="I35" s="22">
        <v>0</v>
      </c>
      <c r="J35" s="23">
        <f t="shared" si="1"/>
        <v>0</v>
      </c>
    </row>
    <row r="36" spans="1:10" ht="14.25" thickTop="1" thickBot="1" x14ac:dyDescent="0.25">
      <c r="A36" s="5" t="s">
        <v>87</v>
      </c>
      <c r="B36" s="5"/>
      <c r="C36" s="5" t="s">
        <v>33</v>
      </c>
      <c r="D36" s="1">
        <v>7</v>
      </c>
      <c r="E36" s="1">
        <v>7</v>
      </c>
      <c r="F36" s="1">
        <v>4</v>
      </c>
      <c r="G36" s="24">
        <f t="shared" si="0"/>
        <v>5.4</v>
      </c>
      <c r="H36" s="22">
        <v>0.5</v>
      </c>
      <c r="I36" s="22">
        <v>0.5</v>
      </c>
      <c r="J36" s="23">
        <f t="shared" si="1"/>
        <v>6.4</v>
      </c>
    </row>
    <row r="37" spans="1:10" ht="14.25" thickTop="1" thickBot="1" x14ac:dyDescent="0.25">
      <c r="A37" s="5" t="s">
        <v>88</v>
      </c>
      <c r="B37" s="5"/>
      <c r="C37" s="5" t="s">
        <v>34</v>
      </c>
      <c r="D37" s="1">
        <v>5</v>
      </c>
      <c r="E37" s="1">
        <v>5</v>
      </c>
      <c r="F37" s="1">
        <v>3.8</v>
      </c>
      <c r="G37" s="24">
        <f t="shared" si="0"/>
        <v>4.8</v>
      </c>
      <c r="H37" s="22">
        <v>0.5</v>
      </c>
      <c r="I37" s="22">
        <v>0.4</v>
      </c>
      <c r="J37" s="23">
        <f t="shared" si="1"/>
        <v>5.7</v>
      </c>
    </row>
    <row r="38" spans="1:10" ht="14.25" thickTop="1" thickBot="1" x14ac:dyDescent="0.25">
      <c r="A38" s="5" t="s">
        <v>89</v>
      </c>
      <c r="B38" s="5"/>
      <c r="C38" s="5" t="s">
        <v>35</v>
      </c>
      <c r="D38" s="1">
        <v>8</v>
      </c>
      <c r="E38" s="1">
        <v>8</v>
      </c>
      <c r="F38" s="1">
        <v>3.9</v>
      </c>
      <c r="G38" s="24">
        <f t="shared" si="0"/>
        <v>5.5</v>
      </c>
      <c r="H38" s="22">
        <v>0.5</v>
      </c>
      <c r="I38" s="22">
        <v>1.6</v>
      </c>
      <c r="J38" s="23">
        <f t="shared" si="1"/>
        <v>7.6</v>
      </c>
    </row>
    <row r="39" spans="1:10" ht="14.25" thickTop="1" thickBot="1" x14ac:dyDescent="0.25">
      <c r="A39" s="5" t="s">
        <v>90</v>
      </c>
      <c r="B39" s="5"/>
      <c r="C39" s="5" t="s">
        <v>115</v>
      </c>
      <c r="D39" s="1">
        <v>6</v>
      </c>
      <c r="E39" s="1">
        <v>3</v>
      </c>
      <c r="F39" s="1">
        <v>4</v>
      </c>
      <c r="G39" s="24">
        <f t="shared" si="0"/>
        <v>4.9000000000000004</v>
      </c>
      <c r="H39" s="22">
        <v>0</v>
      </c>
      <c r="I39" s="22">
        <v>0.3</v>
      </c>
      <c r="J39" s="23">
        <f t="shared" si="1"/>
        <v>5.2</v>
      </c>
    </row>
    <row r="40" spans="1:10" ht="14.25" thickTop="1" thickBot="1" x14ac:dyDescent="0.25">
      <c r="A40" s="5" t="s">
        <v>91</v>
      </c>
      <c r="B40" s="5"/>
      <c r="C40" s="5" t="s">
        <v>36</v>
      </c>
      <c r="D40" s="1">
        <v>5</v>
      </c>
      <c r="E40" s="1">
        <v>7</v>
      </c>
      <c r="F40" s="1">
        <v>4</v>
      </c>
      <c r="G40" s="24">
        <f t="shared" si="0"/>
        <v>5.2</v>
      </c>
      <c r="H40" s="22">
        <v>0.5</v>
      </c>
      <c r="I40" s="22">
        <v>1.7</v>
      </c>
      <c r="J40" s="23">
        <f t="shared" si="1"/>
        <v>7.4</v>
      </c>
    </row>
    <row r="41" spans="1:10" ht="14.25" thickTop="1" thickBot="1" x14ac:dyDescent="0.25">
      <c r="A41" s="5"/>
      <c r="B41" s="5" t="s">
        <v>92</v>
      </c>
      <c r="C41" s="5" t="s">
        <v>37</v>
      </c>
      <c r="D41" s="1">
        <v>6</v>
      </c>
      <c r="E41" s="1">
        <v>5</v>
      </c>
      <c r="F41" s="1">
        <v>4</v>
      </c>
      <c r="G41" s="24">
        <f t="shared" si="0"/>
        <v>5.0999999999999996</v>
      </c>
      <c r="H41" s="22">
        <v>0.5</v>
      </c>
      <c r="I41" s="22">
        <v>1.6</v>
      </c>
      <c r="J41" s="23">
        <f t="shared" si="1"/>
        <v>7.1999999999999993</v>
      </c>
    </row>
    <row r="42" spans="1:10" ht="14.25" thickTop="1" thickBot="1" x14ac:dyDescent="0.25">
      <c r="A42" s="5"/>
      <c r="B42" s="5" t="s">
        <v>93</v>
      </c>
      <c r="C42" s="5" t="s">
        <v>116</v>
      </c>
      <c r="D42" s="1">
        <v>7</v>
      </c>
      <c r="E42" s="1">
        <v>6</v>
      </c>
      <c r="F42" s="1">
        <v>4</v>
      </c>
      <c r="G42" s="24">
        <f t="shared" si="0"/>
        <v>5.3</v>
      </c>
      <c r="H42" s="22">
        <v>0.5</v>
      </c>
      <c r="I42" s="22">
        <v>1.5</v>
      </c>
      <c r="J42" s="23">
        <f t="shared" si="1"/>
        <v>7.3</v>
      </c>
    </row>
    <row r="43" spans="1:10" ht="14.25" thickTop="1" thickBot="1" x14ac:dyDescent="0.25">
      <c r="A43" s="5"/>
      <c r="B43" s="5" t="s">
        <v>94</v>
      </c>
      <c r="C43" s="5" t="s">
        <v>117</v>
      </c>
      <c r="D43" s="1">
        <v>6</v>
      </c>
      <c r="E43" s="1">
        <v>7</v>
      </c>
      <c r="F43" s="1">
        <v>4</v>
      </c>
      <c r="G43" s="24">
        <f t="shared" si="0"/>
        <v>5.3</v>
      </c>
      <c r="H43" s="22">
        <v>0.5</v>
      </c>
      <c r="I43" s="22">
        <v>1.7</v>
      </c>
      <c r="J43" s="23">
        <f t="shared" si="1"/>
        <v>7.5</v>
      </c>
    </row>
    <row r="44" spans="1:10" ht="14.25" thickTop="1" thickBot="1" x14ac:dyDescent="0.25">
      <c r="A44" s="5" t="s">
        <v>95</v>
      </c>
      <c r="B44" s="5"/>
      <c r="C44" s="5" t="s">
        <v>38</v>
      </c>
      <c r="D44" s="1">
        <v>2</v>
      </c>
      <c r="E44" s="1">
        <v>8</v>
      </c>
      <c r="F44" s="1">
        <v>3.9</v>
      </c>
      <c r="G44" s="24">
        <f t="shared" si="0"/>
        <v>4.9000000000000004</v>
      </c>
      <c r="H44" s="22">
        <v>0.5</v>
      </c>
      <c r="I44" s="22">
        <v>0.7</v>
      </c>
      <c r="J44" s="23">
        <f t="shared" si="1"/>
        <v>6.1000000000000005</v>
      </c>
    </row>
    <row r="45" spans="1:10" ht="14.25" thickTop="1" thickBot="1" x14ac:dyDescent="0.25">
      <c r="A45" s="5"/>
      <c r="B45" s="5" t="s">
        <v>96</v>
      </c>
      <c r="C45" s="5" t="s">
        <v>39</v>
      </c>
      <c r="D45" s="1">
        <v>9</v>
      </c>
      <c r="E45" s="1">
        <v>8</v>
      </c>
      <c r="F45" s="1">
        <v>4</v>
      </c>
      <c r="G45" s="24">
        <f t="shared" si="0"/>
        <v>5.7</v>
      </c>
      <c r="H45" s="22">
        <v>0.5</v>
      </c>
      <c r="I45" s="22">
        <v>2</v>
      </c>
      <c r="J45" s="23">
        <f t="shared" si="1"/>
        <v>8.1999999999999993</v>
      </c>
    </row>
    <row r="46" spans="1:10" ht="14.25" thickTop="1" thickBot="1" x14ac:dyDescent="0.25">
      <c r="A46" s="5"/>
      <c r="B46" s="5" t="s">
        <v>97</v>
      </c>
      <c r="C46" s="5" t="s">
        <v>40</v>
      </c>
      <c r="D46" s="1">
        <v>9</v>
      </c>
      <c r="E46" s="1">
        <v>8</v>
      </c>
      <c r="F46" s="1">
        <v>3.9</v>
      </c>
      <c r="G46" s="24">
        <f t="shared" si="0"/>
        <v>5.6</v>
      </c>
      <c r="H46" s="22">
        <v>0.5</v>
      </c>
      <c r="I46" s="22">
        <v>1</v>
      </c>
      <c r="J46" s="23">
        <f t="shared" si="1"/>
        <v>7.1</v>
      </c>
    </row>
    <row r="47" spans="1:10" ht="14.25" thickTop="1" thickBot="1" x14ac:dyDescent="0.25">
      <c r="A47" s="5" t="s">
        <v>98</v>
      </c>
      <c r="B47" s="5"/>
      <c r="C47" s="5" t="s">
        <v>41</v>
      </c>
      <c r="D47" s="1">
        <v>4</v>
      </c>
      <c r="E47" s="1">
        <v>7</v>
      </c>
      <c r="F47" s="1">
        <v>3.7</v>
      </c>
      <c r="G47" s="24">
        <f t="shared" si="0"/>
        <v>4.8000000000000007</v>
      </c>
      <c r="H47" s="22">
        <v>0</v>
      </c>
      <c r="I47" s="22">
        <v>0.1</v>
      </c>
      <c r="J47" s="23">
        <f t="shared" si="1"/>
        <v>4.9000000000000004</v>
      </c>
    </row>
    <row r="48" spans="1:10" ht="14.25" thickTop="1" thickBot="1" x14ac:dyDescent="0.25">
      <c r="A48" s="5"/>
      <c r="B48" s="5" t="s">
        <v>99</v>
      </c>
      <c r="C48" s="5" t="s">
        <v>42</v>
      </c>
      <c r="D48" s="1">
        <v>6</v>
      </c>
      <c r="E48" s="1">
        <v>6</v>
      </c>
      <c r="F48" s="1">
        <v>4</v>
      </c>
      <c r="G48" s="24">
        <f t="shared" si="0"/>
        <v>5.2</v>
      </c>
      <c r="H48" s="22">
        <v>0</v>
      </c>
      <c r="I48" s="22">
        <v>2.1</v>
      </c>
      <c r="J48" s="23">
        <f t="shared" si="1"/>
        <v>7.3000000000000007</v>
      </c>
    </row>
    <row r="49" spans="1:10" ht="14.25" thickTop="1" thickBot="1" x14ac:dyDescent="0.25">
      <c r="A49" s="5"/>
      <c r="B49" s="5" t="s">
        <v>100</v>
      </c>
      <c r="C49" s="5" t="s">
        <v>119</v>
      </c>
      <c r="D49" s="1">
        <v>6</v>
      </c>
      <c r="E49" s="1">
        <v>6</v>
      </c>
      <c r="F49" s="1">
        <v>4</v>
      </c>
      <c r="G49" s="24">
        <f t="shared" si="0"/>
        <v>5.2</v>
      </c>
      <c r="H49" s="22">
        <v>0.5</v>
      </c>
      <c r="I49" s="22">
        <v>1.8</v>
      </c>
      <c r="J49" s="23">
        <f t="shared" si="1"/>
        <v>7.5</v>
      </c>
    </row>
    <row r="50" spans="1:10" ht="14.25" thickTop="1" thickBot="1" x14ac:dyDescent="0.25">
      <c r="A50" s="5"/>
      <c r="B50" s="5" t="s">
        <v>101</v>
      </c>
      <c r="C50" s="5" t="s">
        <v>43</v>
      </c>
      <c r="D50" s="1">
        <v>4</v>
      </c>
      <c r="E50" s="1">
        <v>4</v>
      </c>
      <c r="F50" s="1">
        <v>3.7</v>
      </c>
      <c r="G50" s="24">
        <f t="shared" si="0"/>
        <v>4.5</v>
      </c>
      <c r="H50" s="22">
        <v>0.5</v>
      </c>
      <c r="I50" s="22">
        <v>0.6</v>
      </c>
      <c r="J50" s="23">
        <f t="shared" si="1"/>
        <v>5.6</v>
      </c>
    </row>
    <row r="51" spans="1:10" ht="14.25" thickTop="1" thickBot="1" x14ac:dyDescent="0.25">
      <c r="A51" s="5"/>
      <c r="B51" s="5" t="s">
        <v>102</v>
      </c>
      <c r="C51" s="5" t="s">
        <v>44</v>
      </c>
      <c r="D51" s="1">
        <v>6</v>
      </c>
      <c r="E51" s="1">
        <v>5</v>
      </c>
      <c r="F51" s="1">
        <v>3.9</v>
      </c>
      <c r="G51" s="24">
        <f t="shared" si="0"/>
        <v>5</v>
      </c>
      <c r="H51" s="22">
        <v>0.5</v>
      </c>
      <c r="I51" s="22">
        <v>1.2</v>
      </c>
      <c r="J51" s="23">
        <f t="shared" si="1"/>
        <v>6.7</v>
      </c>
    </row>
    <row r="52" spans="1:10" ht="14.25" thickTop="1" thickBot="1" x14ac:dyDescent="0.25">
      <c r="A52" s="6" t="s">
        <v>103</v>
      </c>
      <c r="B52" s="5"/>
      <c r="C52" s="5" t="s">
        <v>45</v>
      </c>
      <c r="D52" s="1">
        <v>1</v>
      </c>
      <c r="E52" s="1">
        <v>4</v>
      </c>
      <c r="F52" s="1">
        <v>3.2</v>
      </c>
      <c r="G52" s="24">
        <f t="shared" si="0"/>
        <v>3.7</v>
      </c>
      <c r="H52" s="22">
        <v>0</v>
      </c>
      <c r="I52" s="22">
        <v>0.5</v>
      </c>
      <c r="J52" s="23">
        <f t="shared" si="1"/>
        <v>4.2</v>
      </c>
    </row>
    <row r="53" spans="1:10" ht="14.25" thickTop="1" thickBot="1" x14ac:dyDescent="0.25">
      <c r="A53" s="5"/>
      <c r="B53" s="5" t="s">
        <v>104</v>
      </c>
      <c r="C53" s="5" t="s">
        <v>118</v>
      </c>
      <c r="D53" s="1">
        <v>6</v>
      </c>
      <c r="E53" s="1">
        <v>6</v>
      </c>
      <c r="F53" s="1">
        <v>3.7</v>
      </c>
      <c r="G53" s="24">
        <f t="shared" si="0"/>
        <v>4.9000000000000004</v>
      </c>
      <c r="H53" s="22">
        <v>0.5</v>
      </c>
      <c r="I53" s="22">
        <v>1.4</v>
      </c>
      <c r="J53" s="23">
        <f t="shared" si="1"/>
        <v>6.8000000000000007</v>
      </c>
    </row>
    <row r="54" spans="1:10" ht="14.25" thickTop="1" thickBot="1" x14ac:dyDescent="0.25">
      <c r="A54" s="5" t="s">
        <v>105</v>
      </c>
      <c r="B54" s="5"/>
      <c r="C54" s="5" t="s">
        <v>46</v>
      </c>
      <c r="D54" s="1">
        <v>5</v>
      </c>
      <c r="E54" s="1">
        <v>7</v>
      </c>
      <c r="F54" s="1">
        <v>4</v>
      </c>
      <c r="G54" s="24">
        <f t="shared" si="0"/>
        <v>5.2</v>
      </c>
      <c r="H54" s="22">
        <v>0.5</v>
      </c>
      <c r="I54" s="22">
        <v>2</v>
      </c>
      <c r="J54" s="23">
        <f t="shared" si="1"/>
        <v>7.7</v>
      </c>
    </row>
    <row r="55" spans="1:10" ht="14.25" thickTop="1" thickBot="1" x14ac:dyDescent="0.25">
      <c r="A55" s="5" t="s">
        <v>106</v>
      </c>
      <c r="B55" s="5"/>
      <c r="C55" s="5" t="s">
        <v>47</v>
      </c>
      <c r="D55" s="1">
        <v>6</v>
      </c>
      <c r="E55" s="1">
        <v>6</v>
      </c>
      <c r="F55" s="1">
        <v>4</v>
      </c>
      <c r="G55" s="24">
        <f t="shared" si="0"/>
        <v>5.2</v>
      </c>
      <c r="H55" s="22">
        <v>0.5</v>
      </c>
      <c r="I55" s="22">
        <v>1.1000000000000001</v>
      </c>
      <c r="J55" s="23">
        <f t="shared" si="1"/>
        <v>6.8000000000000007</v>
      </c>
    </row>
    <row r="56" spans="1:10" ht="14.25" thickTop="1" thickBot="1" x14ac:dyDescent="0.25">
      <c r="A56" s="5"/>
      <c r="B56" s="5" t="s">
        <v>107</v>
      </c>
      <c r="C56" s="5" t="s">
        <v>48</v>
      </c>
      <c r="D56" s="1">
        <v>6</v>
      </c>
      <c r="E56" s="1">
        <v>6</v>
      </c>
      <c r="F56" s="1">
        <v>4</v>
      </c>
      <c r="G56" s="24">
        <f t="shared" si="0"/>
        <v>5.2</v>
      </c>
      <c r="H56" s="22">
        <v>0.5</v>
      </c>
      <c r="I56" s="22">
        <v>1.6</v>
      </c>
      <c r="J56" s="23">
        <f t="shared" si="1"/>
        <v>7.3000000000000007</v>
      </c>
    </row>
    <row r="57" spans="1:10" ht="14.25" thickTop="1" thickBot="1" x14ac:dyDescent="0.25">
      <c r="A57" s="5"/>
      <c r="B57" s="5" t="s">
        <v>108</v>
      </c>
      <c r="C57" s="5" t="s">
        <v>49</v>
      </c>
      <c r="D57" s="1">
        <v>5</v>
      </c>
      <c r="E57" s="1">
        <v>5</v>
      </c>
      <c r="F57" s="1">
        <v>4</v>
      </c>
      <c r="G57" s="24">
        <f t="shared" si="0"/>
        <v>5</v>
      </c>
      <c r="H57" s="22">
        <v>0.5</v>
      </c>
      <c r="I57" s="22">
        <v>0.6</v>
      </c>
      <c r="J57" s="23">
        <f t="shared" si="1"/>
        <v>6.1</v>
      </c>
    </row>
    <row r="58" spans="1:10" ht="14.25" thickTop="1" thickBot="1" x14ac:dyDescent="0.25">
      <c r="A58" s="5" t="s">
        <v>109</v>
      </c>
      <c r="B58" s="5"/>
      <c r="C58" s="5" t="s">
        <v>50</v>
      </c>
      <c r="D58" s="1">
        <v>7</v>
      </c>
      <c r="E58" s="20">
        <v>5</v>
      </c>
      <c r="F58" s="1">
        <v>3.8</v>
      </c>
      <c r="G58" s="24">
        <f t="shared" si="0"/>
        <v>5</v>
      </c>
      <c r="H58" s="22">
        <v>0.5</v>
      </c>
      <c r="I58" s="22">
        <v>0.6</v>
      </c>
      <c r="J58" s="23">
        <f t="shared" si="1"/>
        <v>6.1</v>
      </c>
    </row>
    <row r="59" spans="1:10" ht="14.25" thickTop="1" thickBot="1" x14ac:dyDescent="0.25">
      <c r="A59" s="5"/>
      <c r="B59" s="5" t="s">
        <v>110</v>
      </c>
      <c r="C59" s="5" t="s">
        <v>51</v>
      </c>
      <c r="D59" s="1">
        <v>6</v>
      </c>
      <c r="E59" s="1">
        <v>5</v>
      </c>
      <c r="F59" s="1">
        <v>4</v>
      </c>
      <c r="G59" s="24">
        <f t="shared" si="0"/>
        <v>5.0999999999999996</v>
      </c>
      <c r="H59" s="22">
        <v>0.5</v>
      </c>
      <c r="I59" s="22">
        <v>1.6</v>
      </c>
      <c r="J59" s="23">
        <f t="shared" si="1"/>
        <v>7.1999999999999993</v>
      </c>
    </row>
    <row r="60" spans="1:10" ht="13.5" thickTop="1" x14ac:dyDescent="0.2"/>
  </sheetData>
  <mergeCells count="1">
    <mergeCell ref="A1:J1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62"/>
  <sheetViews>
    <sheetView workbookViewId="0">
      <selection activeCell="N7" sqref="N7"/>
    </sheetView>
  </sheetViews>
  <sheetFormatPr baseColWidth="10" defaultRowHeight="12.75" x14ac:dyDescent="0.2"/>
  <cols>
    <col min="1" max="2" width="2.7109375" bestFit="1" customWidth="1"/>
    <col min="3" max="3" width="33.5703125" bestFit="1" customWidth="1"/>
    <col min="4" max="4" width="4" bestFit="1" customWidth="1"/>
    <col min="5" max="5" width="5" bestFit="1" customWidth="1"/>
    <col min="6" max="6" width="4" bestFit="1" customWidth="1"/>
    <col min="7" max="7" width="3.85546875" bestFit="1" customWidth="1"/>
    <col min="8" max="8" width="5" bestFit="1" customWidth="1"/>
    <col min="9" max="9" width="5.42578125" bestFit="1" customWidth="1"/>
    <col min="10" max="10" width="3.5703125" bestFit="1" customWidth="1"/>
    <col min="11" max="11" width="4.42578125" bestFit="1" customWidth="1"/>
    <col min="12" max="13" width="6.42578125" bestFit="1" customWidth="1"/>
    <col min="14" max="14" width="7.85546875" customWidth="1"/>
  </cols>
  <sheetData>
    <row r="1" spans="1:13" ht="18.75" x14ac:dyDescent="0.3">
      <c r="A1" s="48" t="s">
        <v>480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31"/>
    </row>
    <row r="2" spans="1:13" x14ac:dyDescent="0.2">
      <c r="A2" s="3" t="s">
        <v>120</v>
      </c>
      <c r="B2" s="3" t="s">
        <v>121</v>
      </c>
      <c r="C2" s="3" t="s">
        <v>122</v>
      </c>
      <c r="D2" s="32" t="s">
        <v>468</v>
      </c>
      <c r="E2" s="33" t="s">
        <v>112</v>
      </c>
      <c r="F2" s="34" t="s">
        <v>469</v>
      </c>
      <c r="G2" s="35" t="s">
        <v>470</v>
      </c>
      <c r="H2" s="37" t="s">
        <v>113</v>
      </c>
      <c r="I2" s="39" t="s">
        <v>471</v>
      </c>
      <c r="J2" s="38" t="s">
        <v>472</v>
      </c>
      <c r="K2" s="40" t="s">
        <v>474</v>
      </c>
      <c r="L2" s="36" t="s">
        <v>475</v>
      </c>
      <c r="M2" s="41" t="s">
        <v>473</v>
      </c>
    </row>
    <row r="3" spans="1:13" x14ac:dyDescent="0.2">
      <c r="A3" s="3" t="s">
        <v>123</v>
      </c>
      <c r="B3" s="3"/>
      <c r="C3" s="3" t="s">
        <v>124</v>
      </c>
      <c r="D3" s="32">
        <v>10</v>
      </c>
      <c r="E3" s="33">
        <v>5</v>
      </c>
      <c r="F3" s="34">
        <v>8</v>
      </c>
      <c r="G3" s="35">
        <v>5</v>
      </c>
      <c r="H3" s="37">
        <v>6</v>
      </c>
      <c r="I3" s="39">
        <v>4</v>
      </c>
      <c r="J3" s="38">
        <v>13</v>
      </c>
      <c r="K3" s="40">
        <f>(D3/10)+(E3/10)+(F3/10)+(G3/10)+(H3/10)+(I3/10)+(J3/10)</f>
        <v>5.0999999999999996</v>
      </c>
      <c r="L3" s="36">
        <v>3</v>
      </c>
      <c r="M3" s="41">
        <f>K3+(L3/10)</f>
        <v>5.3999999999999995</v>
      </c>
    </row>
    <row r="4" spans="1:13" x14ac:dyDescent="0.2">
      <c r="A4" s="3"/>
      <c r="B4" s="3" t="s">
        <v>125</v>
      </c>
      <c r="C4" s="3" t="s">
        <v>126</v>
      </c>
      <c r="D4" s="32">
        <v>5</v>
      </c>
      <c r="E4" s="33">
        <v>6</v>
      </c>
      <c r="F4" s="34">
        <v>10</v>
      </c>
      <c r="G4" s="35">
        <v>0</v>
      </c>
      <c r="H4" s="37">
        <v>6</v>
      </c>
      <c r="I4" s="39">
        <v>5</v>
      </c>
      <c r="J4" s="38">
        <v>17</v>
      </c>
      <c r="K4" s="40">
        <f t="shared" ref="K4:K62" si="0">(D4/10)+(E4/10)+(F4/10)+(G4/10)+(H4/10)+(I4/10)+(J4/10)</f>
        <v>4.9000000000000004</v>
      </c>
      <c r="L4" s="36">
        <v>0</v>
      </c>
      <c r="M4" s="41">
        <f t="shared" ref="M4:M62" si="1">K4+(L4/10)</f>
        <v>4.9000000000000004</v>
      </c>
    </row>
    <row r="5" spans="1:13" x14ac:dyDescent="0.2">
      <c r="A5" s="3"/>
      <c r="B5" s="3" t="s">
        <v>127</v>
      </c>
      <c r="C5" s="3" t="s">
        <v>128</v>
      </c>
      <c r="D5" s="32">
        <v>10</v>
      </c>
      <c r="E5" s="33">
        <v>6</v>
      </c>
      <c r="F5" s="34">
        <v>8</v>
      </c>
      <c r="G5" s="35">
        <v>7</v>
      </c>
      <c r="H5" s="37">
        <v>8</v>
      </c>
      <c r="I5" s="39">
        <v>4</v>
      </c>
      <c r="J5" s="38">
        <v>15</v>
      </c>
      <c r="K5" s="40">
        <f t="shared" si="0"/>
        <v>5.8000000000000007</v>
      </c>
      <c r="L5" s="36">
        <v>3</v>
      </c>
      <c r="M5" s="41">
        <f t="shared" si="1"/>
        <v>6.1000000000000005</v>
      </c>
    </row>
    <row r="6" spans="1:13" x14ac:dyDescent="0.2">
      <c r="A6" s="3"/>
      <c r="B6" s="3" t="s">
        <v>129</v>
      </c>
      <c r="C6" s="3" t="s">
        <v>130</v>
      </c>
      <c r="D6" s="32">
        <v>10</v>
      </c>
      <c r="E6" s="33">
        <v>5</v>
      </c>
      <c r="F6" s="34">
        <v>10</v>
      </c>
      <c r="G6" s="35">
        <v>0</v>
      </c>
      <c r="H6" s="37">
        <v>7</v>
      </c>
      <c r="I6" s="39">
        <v>3</v>
      </c>
      <c r="J6" s="38">
        <v>20</v>
      </c>
      <c r="K6" s="40">
        <f t="shared" si="0"/>
        <v>5.5</v>
      </c>
      <c r="L6" s="36">
        <v>0</v>
      </c>
      <c r="M6" s="41">
        <f t="shared" si="1"/>
        <v>5.5</v>
      </c>
    </row>
    <row r="7" spans="1:13" x14ac:dyDescent="0.2">
      <c r="A7" s="3"/>
      <c r="B7" s="3" t="s">
        <v>131</v>
      </c>
      <c r="C7" s="3" t="s">
        <v>132</v>
      </c>
      <c r="D7" s="32">
        <v>10</v>
      </c>
      <c r="E7" s="33">
        <v>7</v>
      </c>
      <c r="F7" s="34">
        <v>10</v>
      </c>
      <c r="G7" s="35">
        <v>5</v>
      </c>
      <c r="H7" s="37">
        <v>8</v>
      </c>
      <c r="I7" s="39">
        <v>4</v>
      </c>
      <c r="J7" s="38">
        <v>20</v>
      </c>
      <c r="K7" s="40">
        <f t="shared" si="0"/>
        <v>6.4</v>
      </c>
      <c r="L7" s="36">
        <v>7</v>
      </c>
      <c r="M7" s="41">
        <f t="shared" si="1"/>
        <v>7.1000000000000005</v>
      </c>
    </row>
    <row r="8" spans="1:13" x14ac:dyDescent="0.2">
      <c r="A8" s="3"/>
      <c r="B8" s="3" t="s">
        <v>133</v>
      </c>
      <c r="C8" s="3" t="s">
        <v>134</v>
      </c>
      <c r="D8" s="32">
        <v>8</v>
      </c>
      <c r="E8" s="33">
        <v>6</v>
      </c>
      <c r="F8" s="34">
        <v>6</v>
      </c>
      <c r="G8" s="35">
        <v>7</v>
      </c>
      <c r="H8" s="37">
        <v>7</v>
      </c>
      <c r="I8" s="39">
        <v>4</v>
      </c>
      <c r="J8" s="38">
        <v>18</v>
      </c>
      <c r="K8" s="40">
        <f t="shared" si="0"/>
        <v>5.6000000000000005</v>
      </c>
      <c r="L8" s="36">
        <v>3</v>
      </c>
      <c r="M8" s="41">
        <f t="shared" si="1"/>
        <v>5.9</v>
      </c>
    </row>
    <row r="9" spans="1:13" x14ac:dyDescent="0.2">
      <c r="A9" s="3" t="s">
        <v>135</v>
      </c>
      <c r="B9" s="3"/>
      <c r="C9" s="3" t="s">
        <v>136</v>
      </c>
      <c r="D9" s="32">
        <v>0</v>
      </c>
      <c r="E9" s="33">
        <v>6</v>
      </c>
      <c r="F9" s="34">
        <v>0</v>
      </c>
      <c r="G9" s="35">
        <v>0</v>
      </c>
      <c r="H9" s="37">
        <v>0</v>
      </c>
      <c r="I9" s="39">
        <v>0</v>
      </c>
      <c r="J9" s="38">
        <v>7</v>
      </c>
      <c r="K9" s="40">
        <f t="shared" si="0"/>
        <v>1.2999999999999998</v>
      </c>
      <c r="L9" s="36">
        <v>0</v>
      </c>
      <c r="M9" s="41">
        <f t="shared" si="1"/>
        <v>1.2999999999999998</v>
      </c>
    </row>
    <row r="10" spans="1:13" x14ac:dyDescent="0.2">
      <c r="A10" s="3" t="s">
        <v>137</v>
      </c>
      <c r="B10" s="3"/>
      <c r="C10" s="3" t="s">
        <v>138</v>
      </c>
      <c r="D10" s="32">
        <v>0</v>
      </c>
      <c r="E10" s="33">
        <v>0</v>
      </c>
      <c r="F10" s="34">
        <v>10</v>
      </c>
      <c r="G10" s="35">
        <v>0</v>
      </c>
      <c r="H10" s="37">
        <v>0</v>
      </c>
      <c r="I10" s="39">
        <v>5</v>
      </c>
      <c r="J10" s="38">
        <v>20</v>
      </c>
      <c r="K10" s="40">
        <f t="shared" si="0"/>
        <v>3.5</v>
      </c>
      <c r="L10" s="36">
        <v>0</v>
      </c>
      <c r="M10" s="41">
        <f t="shared" si="1"/>
        <v>3.5</v>
      </c>
    </row>
    <row r="11" spans="1:13" x14ac:dyDescent="0.2">
      <c r="A11" s="3"/>
      <c r="B11" s="3" t="s">
        <v>139</v>
      </c>
      <c r="C11" s="3" t="s">
        <v>140</v>
      </c>
      <c r="D11" s="32">
        <v>8</v>
      </c>
      <c r="E11" s="33">
        <v>7</v>
      </c>
      <c r="F11" s="34">
        <v>10</v>
      </c>
      <c r="G11" s="35">
        <v>5</v>
      </c>
      <c r="H11" s="37">
        <v>7</v>
      </c>
      <c r="I11" s="39">
        <v>5</v>
      </c>
      <c r="J11" s="38">
        <v>19</v>
      </c>
      <c r="K11" s="40">
        <f t="shared" si="0"/>
        <v>6.1</v>
      </c>
      <c r="L11" s="36">
        <v>21</v>
      </c>
      <c r="M11" s="41">
        <f t="shared" si="1"/>
        <v>8.1999999999999993</v>
      </c>
    </row>
    <row r="12" spans="1:13" x14ac:dyDescent="0.2">
      <c r="A12" s="3" t="s">
        <v>141</v>
      </c>
      <c r="B12" s="3"/>
      <c r="C12" s="3" t="s">
        <v>142</v>
      </c>
      <c r="D12" s="32">
        <v>8</v>
      </c>
      <c r="E12" s="33">
        <v>5</v>
      </c>
      <c r="F12" s="34">
        <v>10</v>
      </c>
      <c r="G12" s="35">
        <v>5</v>
      </c>
      <c r="H12" s="37">
        <v>8</v>
      </c>
      <c r="I12" s="39">
        <v>5</v>
      </c>
      <c r="J12" s="38">
        <v>19</v>
      </c>
      <c r="K12" s="40">
        <f t="shared" si="0"/>
        <v>6</v>
      </c>
      <c r="L12" s="36">
        <v>3</v>
      </c>
      <c r="M12" s="41">
        <f t="shared" si="1"/>
        <v>6.3</v>
      </c>
    </row>
    <row r="13" spans="1:13" x14ac:dyDescent="0.2">
      <c r="A13" s="3" t="s">
        <v>143</v>
      </c>
      <c r="B13" s="3"/>
      <c r="C13" s="3" t="s">
        <v>144</v>
      </c>
      <c r="D13" s="32">
        <v>10</v>
      </c>
      <c r="E13" s="33">
        <v>6</v>
      </c>
      <c r="F13" s="34">
        <v>10</v>
      </c>
      <c r="G13" s="35">
        <v>5</v>
      </c>
      <c r="H13" s="37">
        <v>8</v>
      </c>
      <c r="I13" s="39">
        <v>5</v>
      </c>
      <c r="J13" s="38">
        <v>19</v>
      </c>
      <c r="K13" s="40">
        <f t="shared" si="0"/>
        <v>6.3000000000000007</v>
      </c>
      <c r="L13" s="36">
        <v>4</v>
      </c>
      <c r="M13" s="41">
        <f t="shared" si="1"/>
        <v>6.7000000000000011</v>
      </c>
    </row>
    <row r="14" spans="1:13" x14ac:dyDescent="0.2">
      <c r="A14" s="3"/>
      <c r="B14" s="3" t="s">
        <v>145</v>
      </c>
      <c r="C14" s="3" t="s">
        <v>146</v>
      </c>
      <c r="D14" s="32">
        <v>9</v>
      </c>
      <c r="E14" s="33">
        <v>6</v>
      </c>
      <c r="F14" s="34">
        <v>10</v>
      </c>
      <c r="G14" s="35">
        <v>0</v>
      </c>
      <c r="H14" s="37">
        <v>9</v>
      </c>
      <c r="I14" s="39">
        <v>3</v>
      </c>
      <c r="J14" s="38">
        <v>17</v>
      </c>
      <c r="K14" s="40">
        <f t="shared" si="0"/>
        <v>5.3999999999999995</v>
      </c>
      <c r="L14" s="36">
        <v>0</v>
      </c>
      <c r="M14" s="41">
        <f t="shared" si="1"/>
        <v>5.3999999999999995</v>
      </c>
    </row>
    <row r="15" spans="1:13" x14ac:dyDescent="0.2">
      <c r="A15" s="3"/>
      <c r="B15" s="3" t="s">
        <v>147</v>
      </c>
      <c r="C15" s="3" t="s">
        <v>148</v>
      </c>
      <c r="D15" s="32">
        <v>10</v>
      </c>
      <c r="E15" s="33">
        <v>5</v>
      </c>
      <c r="F15" s="34">
        <v>10</v>
      </c>
      <c r="G15" s="35">
        <v>5</v>
      </c>
      <c r="H15" s="37">
        <v>7</v>
      </c>
      <c r="I15" s="39">
        <v>5</v>
      </c>
      <c r="J15" s="38">
        <v>19</v>
      </c>
      <c r="K15" s="40">
        <f t="shared" si="0"/>
        <v>6.1</v>
      </c>
      <c r="L15" s="36">
        <v>6</v>
      </c>
      <c r="M15" s="41">
        <f t="shared" si="1"/>
        <v>6.6999999999999993</v>
      </c>
    </row>
    <row r="16" spans="1:13" x14ac:dyDescent="0.2">
      <c r="A16" s="3"/>
      <c r="B16" s="3" t="s">
        <v>149</v>
      </c>
      <c r="C16" s="3" t="s">
        <v>150</v>
      </c>
      <c r="D16" s="32">
        <v>8</v>
      </c>
      <c r="E16" s="33">
        <v>6</v>
      </c>
      <c r="F16" s="34">
        <v>10</v>
      </c>
      <c r="G16" s="35">
        <v>5</v>
      </c>
      <c r="H16" s="37">
        <v>8</v>
      </c>
      <c r="I16" s="39">
        <v>5</v>
      </c>
      <c r="J16" s="38">
        <v>20</v>
      </c>
      <c r="K16" s="40">
        <f t="shared" si="0"/>
        <v>6.2</v>
      </c>
      <c r="L16" s="36">
        <v>13</v>
      </c>
      <c r="M16" s="41">
        <f t="shared" si="1"/>
        <v>7.5</v>
      </c>
    </row>
    <row r="17" spans="1:13" x14ac:dyDescent="0.2">
      <c r="A17" s="3"/>
      <c r="B17" s="3" t="s">
        <v>151</v>
      </c>
      <c r="C17" s="3" t="s">
        <v>152</v>
      </c>
      <c r="D17" s="32">
        <v>9</v>
      </c>
      <c r="E17" s="33">
        <v>7</v>
      </c>
      <c r="F17" s="34">
        <v>10</v>
      </c>
      <c r="G17" s="35">
        <v>7</v>
      </c>
      <c r="H17" s="37">
        <v>8</v>
      </c>
      <c r="I17" s="39">
        <v>5</v>
      </c>
      <c r="J17" s="38">
        <v>19</v>
      </c>
      <c r="K17" s="40">
        <f t="shared" si="0"/>
        <v>6.5</v>
      </c>
      <c r="L17" s="36">
        <v>8</v>
      </c>
      <c r="M17" s="41">
        <f t="shared" si="1"/>
        <v>7.3</v>
      </c>
    </row>
    <row r="18" spans="1:13" x14ac:dyDescent="0.2">
      <c r="A18" s="3" t="s">
        <v>153</v>
      </c>
      <c r="B18" s="3"/>
      <c r="C18" s="3" t="s">
        <v>154</v>
      </c>
      <c r="D18" s="32">
        <v>5</v>
      </c>
      <c r="E18" s="33">
        <v>8</v>
      </c>
      <c r="F18" s="34">
        <v>5</v>
      </c>
      <c r="G18" s="35">
        <v>0</v>
      </c>
      <c r="H18" s="37">
        <v>0</v>
      </c>
      <c r="I18" s="39">
        <v>4</v>
      </c>
      <c r="J18" s="38">
        <v>11</v>
      </c>
      <c r="K18" s="40">
        <f t="shared" si="0"/>
        <v>3.3000000000000003</v>
      </c>
      <c r="L18" s="36">
        <v>2</v>
      </c>
      <c r="M18" s="41">
        <f t="shared" si="1"/>
        <v>3.5000000000000004</v>
      </c>
    </row>
    <row r="19" spans="1:13" x14ac:dyDescent="0.2">
      <c r="A19" s="3" t="s">
        <v>155</v>
      </c>
      <c r="B19" s="3"/>
      <c r="C19" s="3" t="s">
        <v>156</v>
      </c>
      <c r="D19" s="32">
        <v>5</v>
      </c>
      <c r="E19" s="33">
        <v>6</v>
      </c>
      <c r="F19" s="34">
        <v>8</v>
      </c>
      <c r="G19" s="35">
        <v>4</v>
      </c>
      <c r="H19" s="37">
        <v>6</v>
      </c>
      <c r="I19" s="39">
        <v>4</v>
      </c>
      <c r="J19" s="38">
        <v>19</v>
      </c>
      <c r="K19" s="40">
        <f t="shared" si="0"/>
        <v>5.2</v>
      </c>
      <c r="L19" s="36">
        <v>2</v>
      </c>
      <c r="M19" s="41">
        <f t="shared" si="1"/>
        <v>5.4</v>
      </c>
    </row>
    <row r="20" spans="1:13" x14ac:dyDescent="0.2">
      <c r="A20" s="3" t="s">
        <v>157</v>
      </c>
      <c r="B20" s="3"/>
      <c r="C20" s="3" t="s">
        <v>158</v>
      </c>
      <c r="D20" s="32">
        <v>8</v>
      </c>
      <c r="E20" s="33">
        <v>5</v>
      </c>
      <c r="F20" s="34">
        <v>5</v>
      </c>
      <c r="G20" s="35">
        <v>0</v>
      </c>
      <c r="H20" s="37">
        <v>5</v>
      </c>
      <c r="I20" s="39">
        <v>5</v>
      </c>
      <c r="J20" s="38">
        <v>17</v>
      </c>
      <c r="K20" s="40">
        <f t="shared" si="0"/>
        <v>4.5</v>
      </c>
      <c r="L20" s="36">
        <v>2</v>
      </c>
      <c r="M20" s="41">
        <f t="shared" si="1"/>
        <v>4.7</v>
      </c>
    </row>
    <row r="21" spans="1:13" x14ac:dyDescent="0.2">
      <c r="A21" s="3" t="s">
        <v>159</v>
      </c>
      <c r="B21" s="3"/>
      <c r="C21" s="3" t="s">
        <v>160</v>
      </c>
      <c r="D21" s="32">
        <v>10</v>
      </c>
      <c r="E21" s="33">
        <v>4</v>
      </c>
      <c r="F21" s="34">
        <v>0</v>
      </c>
      <c r="G21" s="35">
        <v>0</v>
      </c>
      <c r="H21" s="37">
        <v>5</v>
      </c>
      <c r="I21" s="39">
        <v>3</v>
      </c>
      <c r="J21" s="38">
        <v>12</v>
      </c>
      <c r="K21" s="40">
        <f t="shared" si="0"/>
        <v>3.3999999999999995</v>
      </c>
      <c r="L21" s="36">
        <v>0</v>
      </c>
      <c r="M21" s="41">
        <f t="shared" si="1"/>
        <v>3.3999999999999995</v>
      </c>
    </row>
    <row r="22" spans="1:13" x14ac:dyDescent="0.2">
      <c r="A22" s="3"/>
      <c r="B22" s="3" t="s">
        <v>161</v>
      </c>
      <c r="C22" s="3" t="s">
        <v>162</v>
      </c>
      <c r="D22" s="32">
        <v>10</v>
      </c>
      <c r="E22" s="33">
        <v>6</v>
      </c>
      <c r="F22" s="34">
        <v>8</v>
      </c>
      <c r="G22" s="35">
        <v>5</v>
      </c>
      <c r="H22" s="37">
        <v>8</v>
      </c>
      <c r="I22" s="39">
        <v>5</v>
      </c>
      <c r="J22" s="38">
        <v>19</v>
      </c>
      <c r="K22" s="40">
        <f t="shared" si="0"/>
        <v>6.1</v>
      </c>
      <c r="L22" s="36">
        <v>8</v>
      </c>
      <c r="M22" s="41">
        <f t="shared" si="1"/>
        <v>6.8999999999999995</v>
      </c>
    </row>
    <row r="23" spans="1:13" x14ac:dyDescent="0.2">
      <c r="A23" s="3"/>
      <c r="B23" s="3" t="s">
        <v>163</v>
      </c>
      <c r="C23" s="3" t="s">
        <v>164</v>
      </c>
      <c r="D23" s="32">
        <v>0</v>
      </c>
      <c r="E23" s="33">
        <v>0</v>
      </c>
      <c r="F23" s="34">
        <v>0</v>
      </c>
      <c r="G23" s="35">
        <v>5</v>
      </c>
      <c r="H23" s="37">
        <v>7</v>
      </c>
      <c r="I23" s="39">
        <v>5</v>
      </c>
      <c r="J23" s="38">
        <v>11</v>
      </c>
      <c r="K23" s="40">
        <f t="shared" si="0"/>
        <v>2.8</v>
      </c>
      <c r="L23" s="36">
        <v>0</v>
      </c>
      <c r="M23" s="41">
        <f t="shared" si="1"/>
        <v>2.8</v>
      </c>
    </row>
    <row r="24" spans="1:13" x14ac:dyDescent="0.2">
      <c r="A24" s="3" t="s">
        <v>165</v>
      </c>
      <c r="B24" s="3"/>
      <c r="C24" s="3" t="s">
        <v>166</v>
      </c>
      <c r="D24" s="32">
        <v>0</v>
      </c>
      <c r="E24" s="33">
        <v>6</v>
      </c>
      <c r="F24" s="34">
        <v>0</v>
      </c>
      <c r="G24" s="35">
        <v>0</v>
      </c>
      <c r="H24" s="37">
        <v>7</v>
      </c>
      <c r="I24" s="39">
        <v>2</v>
      </c>
      <c r="J24" s="38">
        <v>12</v>
      </c>
      <c r="K24" s="40">
        <f t="shared" si="0"/>
        <v>2.6999999999999997</v>
      </c>
      <c r="L24" s="36">
        <v>8</v>
      </c>
      <c r="M24" s="41">
        <f t="shared" si="1"/>
        <v>3.5</v>
      </c>
    </row>
    <row r="25" spans="1:13" x14ac:dyDescent="0.2">
      <c r="A25" s="3" t="s">
        <v>167</v>
      </c>
      <c r="B25" s="3"/>
      <c r="C25" s="3" t="s">
        <v>168</v>
      </c>
      <c r="D25" s="32">
        <v>9</v>
      </c>
      <c r="E25" s="33">
        <v>6</v>
      </c>
      <c r="F25" s="34">
        <v>10</v>
      </c>
      <c r="G25" s="35">
        <v>5</v>
      </c>
      <c r="H25" s="37">
        <v>8</v>
      </c>
      <c r="I25" s="39">
        <v>5</v>
      </c>
      <c r="J25" s="38">
        <v>16</v>
      </c>
      <c r="K25" s="40">
        <f t="shared" si="0"/>
        <v>5.9</v>
      </c>
      <c r="L25" s="36">
        <v>2</v>
      </c>
      <c r="M25" s="41">
        <f t="shared" si="1"/>
        <v>6.1000000000000005</v>
      </c>
    </row>
    <row r="26" spans="1:13" x14ac:dyDescent="0.2">
      <c r="A26" s="3" t="s">
        <v>169</v>
      </c>
      <c r="B26" s="3"/>
      <c r="C26" s="3" t="s">
        <v>170</v>
      </c>
      <c r="D26" s="32">
        <v>8</v>
      </c>
      <c r="E26" s="33">
        <v>0</v>
      </c>
      <c r="F26" s="34">
        <v>8</v>
      </c>
      <c r="G26" s="35">
        <v>5</v>
      </c>
      <c r="H26" s="37">
        <v>7</v>
      </c>
      <c r="I26" s="39">
        <v>5</v>
      </c>
      <c r="J26" s="38">
        <v>14</v>
      </c>
      <c r="K26" s="40">
        <f t="shared" si="0"/>
        <v>4.6999999999999993</v>
      </c>
      <c r="L26" s="36">
        <v>3</v>
      </c>
      <c r="M26" s="41">
        <f t="shared" si="1"/>
        <v>4.9999999999999991</v>
      </c>
    </row>
    <row r="27" spans="1:13" x14ac:dyDescent="0.2">
      <c r="A27" s="3" t="s">
        <v>171</v>
      </c>
      <c r="B27" s="3"/>
      <c r="C27" s="3" t="s">
        <v>172</v>
      </c>
      <c r="D27" s="32">
        <v>0</v>
      </c>
      <c r="E27" s="33">
        <v>6</v>
      </c>
      <c r="F27" s="34">
        <v>8</v>
      </c>
      <c r="G27" s="35">
        <v>0</v>
      </c>
      <c r="H27" s="37">
        <v>7</v>
      </c>
      <c r="I27" s="39">
        <v>3</v>
      </c>
      <c r="J27" s="38">
        <v>14</v>
      </c>
      <c r="K27" s="40">
        <f t="shared" si="0"/>
        <v>3.7999999999999994</v>
      </c>
      <c r="L27" s="36">
        <v>2</v>
      </c>
      <c r="M27" s="41">
        <f t="shared" si="1"/>
        <v>3.9999999999999996</v>
      </c>
    </row>
    <row r="28" spans="1:13" x14ac:dyDescent="0.2">
      <c r="A28" s="3"/>
      <c r="B28" s="3" t="s">
        <v>173</v>
      </c>
      <c r="C28" s="3" t="s">
        <v>174</v>
      </c>
      <c r="D28" s="32">
        <v>8</v>
      </c>
      <c r="E28" s="33">
        <v>5</v>
      </c>
      <c r="F28" s="34">
        <v>8</v>
      </c>
      <c r="G28" s="35">
        <v>0</v>
      </c>
      <c r="H28" s="37">
        <v>6</v>
      </c>
      <c r="I28" s="39">
        <v>5</v>
      </c>
      <c r="J28" s="38">
        <v>17</v>
      </c>
      <c r="K28" s="40">
        <f t="shared" si="0"/>
        <v>4.9000000000000004</v>
      </c>
      <c r="L28" s="36">
        <v>2</v>
      </c>
      <c r="M28" s="41">
        <f t="shared" si="1"/>
        <v>5.1000000000000005</v>
      </c>
    </row>
    <row r="29" spans="1:13" x14ac:dyDescent="0.2">
      <c r="A29" s="3"/>
      <c r="B29" s="3" t="s">
        <v>175</v>
      </c>
      <c r="C29" s="3" t="s">
        <v>176</v>
      </c>
      <c r="D29" s="32">
        <v>0</v>
      </c>
      <c r="E29" s="33">
        <v>10</v>
      </c>
      <c r="F29" s="34">
        <v>9</v>
      </c>
      <c r="G29" s="35">
        <v>5</v>
      </c>
      <c r="H29" s="37">
        <v>7</v>
      </c>
      <c r="I29" s="39">
        <v>5</v>
      </c>
      <c r="J29" s="38">
        <v>17</v>
      </c>
      <c r="K29" s="40">
        <f t="shared" si="0"/>
        <v>5.3</v>
      </c>
      <c r="L29" s="36">
        <v>13</v>
      </c>
      <c r="M29" s="41">
        <f t="shared" si="1"/>
        <v>6.6</v>
      </c>
    </row>
    <row r="30" spans="1:13" x14ac:dyDescent="0.2">
      <c r="A30" s="3" t="s">
        <v>177</v>
      </c>
      <c r="B30" s="3"/>
      <c r="C30" s="3" t="s">
        <v>178</v>
      </c>
      <c r="D30" s="32">
        <v>1</v>
      </c>
      <c r="E30" s="33">
        <v>5</v>
      </c>
      <c r="F30" s="34">
        <v>10</v>
      </c>
      <c r="G30" s="35">
        <v>5</v>
      </c>
      <c r="H30" s="37">
        <v>7</v>
      </c>
      <c r="I30" s="39">
        <v>5</v>
      </c>
      <c r="J30" s="38">
        <v>19</v>
      </c>
      <c r="K30" s="40">
        <f t="shared" si="0"/>
        <v>5.1999999999999993</v>
      </c>
      <c r="L30" s="36">
        <v>1</v>
      </c>
      <c r="M30" s="41">
        <f t="shared" si="1"/>
        <v>5.2999999999999989</v>
      </c>
    </row>
    <row r="31" spans="1:13" x14ac:dyDescent="0.2">
      <c r="A31" s="3"/>
      <c r="B31" s="3" t="s">
        <v>179</v>
      </c>
      <c r="C31" s="46" t="s">
        <v>180</v>
      </c>
      <c r="D31" s="32">
        <v>0</v>
      </c>
      <c r="E31" s="33">
        <v>0</v>
      </c>
      <c r="F31" s="34">
        <v>0</v>
      </c>
      <c r="G31" s="35">
        <v>0</v>
      </c>
      <c r="H31" s="37">
        <v>0</v>
      </c>
      <c r="I31" s="39">
        <v>0</v>
      </c>
      <c r="J31" s="38">
        <v>0</v>
      </c>
      <c r="K31" s="40">
        <f t="shared" si="0"/>
        <v>0</v>
      </c>
      <c r="L31" s="36">
        <v>0</v>
      </c>
      <c r="M31" s="41">
        <f t="shared" si="1"/>
        <v>0</v>
      </c>
    </row>
    <row r="32" spans="1:13" x14ac:dyDescent="0.2">
      <c r="A32" s="3"/>
      <c r="B32" s="3" t="s">
        <v>181</v>
      </c>
      <c r="C32" s="3" t="s">
        <v>182</v>
      </c>
      <c r="D32" s="32">
        <v>8</v>
      </c>
      <c r="E32" s="33">
        <v>5</v>
      </c>
      <c r="F32" s="34">
        <v>8</v>
      </c>
      <c r="G32" s="35">
        <v>7</v>
      </c>
      <c r="H32" s="37">
        <v>7</v>
      </c>
      <c r="I32" s="39">
        <v>5</v>
      </c>
      <c r="J32" s="38">
        <v>15</v>
      </c>
      <c r="K32" s="40">
        <f t="shared" si="0"/>
        <v>5.5</v>
      </c>
      <c r="L32" s="36">
        <v>9</v>
      </c>
      <c r="M32" s="41">
        <f t="shared" si="1"/>
        <v>6.4</v>
      </c>
    </row>
    <row r="33" spans="1:13" x14ac:dyDescent="0.2">
      <c r="A33" s="3" t="s">
        <v>183</v>
      </c>
      <c r="B33" s="3"/>
      <c r="C33" s="3" t="s">
        <v>184</v>
      </c>
      <c r="D33" s="32">
        <v>10</v>
      </c>
      <c r="E33" s="33">
        <v>8</v>
      </c>
      <c r="F33" s="34">
        <v>10</v>
      </c>
      <c r="G33" s="35">
        <v>7</v>
      </c>
      <c r="H33" s="37">
        <v>8</v>
      </c>
      <c r="I33" s="39">
        <v>5</v>
      </c>
      <c r="J33" s="38">
        <v>18</v>
      </c>
      <c r="K33" s="40">
        <f t="shared" si="0"/>
        <v>6.6</v>
      </c>
      <c r="L33" s="36">
        <v>40</v>
      </c>
      <c r="M33" s="41">
        <f t="shared" si="1"/>
        <v>10.6</v>
      </c>
    </row>
    <row r="34" spans="1:13" x14ac:dyDescent="0.2">
      <c r="A34" s="3" t="s">
        <v>185</v>
      </c>
      <c r="B34" s="3"/>
      <c r="C34" s="3" t="s">
        <v>186</v>
      </c>
      <c r="D34" s="32">
        <v>9</v>
      </c>
      <c r="E34" s="33">
        <v>7</v>
      </c>
      <c r="F34" s="34">
        <v>10</v>
      </c>
      <c r="G34" s="35">
        <v>5</v>
      </c>
      <c r="H34" s="37">
        <v>7</v>
      </c>
      <c r="I34" s="39">
        <v>5</v>
      </c>
      <c r="J34" s="38">
        <v>18</v>
      </c>
      <c r="K34" s="40">
        <f t="shared" si="0"/>
        <v>6.1</v>
      </c>
      <c r="L34" s="36">
        <v>4</v>
      </c>
      <c r="M34" s="41">
        <f t="shared" si="1"/>
        <v>6.5</v>
      </c>
    </row>
    <row r="35" spans="1:13" x14ac:dyDescent="0.2">
      <c r="A35" s="3" t="s">
        <v>187</v>
      </c>
      <c r="B35" s="3"/>
      <c r="C35" s="3" t="s">
        <v>188</v>
      </c>
      <c r="D35" s="32">
        <v>8</v>
      </c>
      <c r="E35" s="33">
        <v>5</v>
      </c>
      <c r="F35" s="34">
        <v>10</v>
      </c>
      <c r="G35" s="35">
        <v>0</v>
      </c>
      <c r="H35" s="37">
        <v>8</v>
      </c>
      <c r="I35" s="39">
        <v>5</v>
      </c>
      <c r="J35" s="38">
        <v>18</v>
      </c>
      <c r="K35" s="40">
        <f t="shared" si="0"/>
        <v>5.3999999999999995</v>
      </c>
      <c r="L35" s="36">
        <v>3</v>
      </c>
      <c r="M35" s="41">
        <f t="shared" si="1"/>
        <v>5.6999999999999993</v>
      </c>
    </row>
    <row r="36" spans="1:13" x14ac:dyDescent="0.2">
      <c r="A36" s="3"/>
      <c r="B36" s="3" t="s">
        <v>189</v>
      </c>
      <c r="C36" s="3" t="s">
        <v>190</v>
      </c>
      <c r="D36" s="32">
        <v>10</v>
      </c>
      <c r="E36" s="33">
        <v>7</v>
      </c>
      <c r="F36" s="34">
        <v>0</v>
      </c>
      <c r="G36" s="35">
        <v>5</v>
      </c>
      <c r="H36" s="37">
        <v>7</v>
      </c>
      <c r="I36" s="39">
        <v>5</v>
      </c>
      <c r="J36" s="38">
        <v>17</v>
      </c>
      <c r="K36" s="40">
        <f t="shared" si="0"/>
        <v>5.1000000000000005</v>
      </c>
      <c r="L36" s="36">
        <v>3</v>
      </c>
      <c r="M36" s="41">
        <f t="shared" si="1"/>
        <v>5.4</v>
      </c>
    </row>
    <row r="37" spans="1:13" x14ac:dyDescent="0.2">
      <c r="A37" s="3" t="s">
        <v>191</v>
      </c>
      <c r="B37" s="3"/>
      <c r="C37" s="3" t="s">
        <v>192</v>
      </c>
      <c r="D37" s="32">
        <v>10</v>
      </c>
      <c r="E37" s="33">
        <v>6</v>
      </c>
      <c r="F37" s="34">
        <v>10</v>
      </c>
      <c r="G37" s="35">
        <v>5</v>
      </c>
      <c r="H37" s="37">
        <v>9</v>
      </c>
      <c r="I37" s="39">
        <v>5</v>
      </c>
      <c r="J37" s="38">
        <v>17</v>
      </c>
      <c r="K37" s="40">
        <f t="shared" si="0"/>
        <v>6.2</v>
      </c>
      <c r="L37" s="36">
        <v>8</v>
      </c>
      <c r="M37" s="41">
        <f t="shared" si="1"/>
        <v>7</v>
      </c>
    </row>
    <row r="38" spans="1:13" x14ac:dyDescent="0.2">
      <c r="A38" s="3"/>
      <c r="B38" s="3" t="s">
        <v>193</v>
      </c>
      <c r="C38" s="3" t="s">
        <v>194</v>
      </c>
      <c r="D38" s="32">
        <v>10</v>
      </c>
      <c r="E38" s="33">
        <v>3</v>
      </c>
      <c r="F38" s="34">
        <v>10</v>
      </c>
      <c r="G38" s="35">
        <v>0</v>
      </c>
      <c r="H38" s="37">
        <v>0</v>
      </c>
      <c r="I38" s="39">
        <v>0</v>
      </c>
      <c r="J38" s="38">
        <v>19</v>
      </c>
      <c r="K38" s="40">
        <f t="shared" si="0"/>
        <v>4.1999999999999993</v>
      </c>
      <c r="L38" s="36">
        <v>0</v>
      </c>
      <c r="M38" s="41">
        <f t="shared" si="1"/>
        <v>4.1999999999999993</v>
      </c>
    </row>
    <row r="39" spans="1:13" x14ac:dyDescent="0.2">
      <c r="A39" s="3" t="s">
        <v>195</v>
      </c>
      <c r="B39" s="3"/>
      <c r="C39" s="3" t="s">
        <v>196</v>
      </c>
      <c r="D39" s="32">
        <v>0</v>
      </c>
      <c r="E39" s="33">
        <v>6</v>
      </c>
      <c r="F39" s="34">
        <v>10</v>
      </c>
      <c r="G39" s="35">
        <v>0</v>
      </c>
      <c r="H39" s="37">
        <v>6</v>
      </c>
      <c r="I39" s="39">
        <v>5</v>
      </c>
      <c r="J39" s="38">
        <v>13</v>
      </c>
      <c r="K39" s="40">
        <f t="shared" si="0"/>
        <v>4</v>
      </c>
      <c r="L39" s="36">
        <v>0</v>
      </c>
      <c r="M39" s="41">
        <f t="shared" si="1"/>
        <v>4</v>
      </c>
    </row>
    <row r="40" spans="1:13" x14ac:dyDescent="0.2">
      <c r="A40" s="3" t="s">
        <v>197</v>
      </c>
      <c r="B40" s="3"/>
      <c r="C40" s="3" t="s">
        <v>198</v>
      </c>
      <c r="D40" s="32">
        <v>0</v>
      </c>
      <c r="E40" s="33">
        <v>6</v>
      </c>
      <c r="F40" s="34">
        <v>10</v>
      </c>
      <c r="G40" s="35">
        <v>5</v>
      </c>
      <c r="H40" s="37">
        <v>8</v>
      </c>
      <c r="I40" s="39">
        <v>5</v>
      </c>
      <c r="J40" s="38">
        <v>17</v>
      </c>
      <c r="K40" s="40">
        <f t="shared" si="0"/>
        <v>5.1000000000000005</v>
      </c>
      <c r="L40" s="36">
        <v>4</v>
      </c>
      <c r="M40" s="41">
        <f t="shared" si="1"/>
        <v>5.5000000000000009</v>
      </c>
    </row>
    <row r="41" spans="1:13" x14ac:dyDescent="0.2">
      <c r="A41" s="3"/>
      <c r="B41" s="3" t="s">
        <v>199</v>
      </c>
      <c r="C41" s="3" t="s">
        <v>200</v>
      </c>
      <c r="D41" s="32">
        <v>10</v>
      </c>
      <c r="E41" s="33">
        <v>5</v>
      </c>
      <c r="F41" s="34">
        <v>10</v>
      </c>
      <c r="G41" s="35">
        <v>7</v>
      </c>
      <c r="H41" s="37">
        <v>6</v>
      </c>
      <c r="I41" s="39">
        <v>5</v>
      </c>
      <c r="J41" s="38">
        <v>16</v>
      </c>
      <c r="K41" s="40">
        <f t="shared" si="0"/>
        <v>5.9</v>
      </c>
      <c r="L41" s="36">
        <v>2</v>
      </c>
      <c r="M41" s="41">
        <f t="shared" si="1"/>
        <v>6.1000000000000005</v>
      </c>
    </row>
    <row r="42" spans="1:13" x14ac:dyDescent="0.2">
      <c r="A42" s="3" t="s">
        <v>201</v>
      </c>
      <c r="B42" s="3"/>
      <c r="C42" s="3" t="s">
        <v>202</v>
      </c>
      <c r="D42" s="32">
        <v>8</v>
      </c>
      <c r="E42" s="33">
        <v>4</v>
      </c>
      <c r="F42" s="34">
        <v>10</v>
      </c>
      <c r="G42" s="35">
        <v>5</v>
      </c>
      <c r="H42" s="37">
        <v>8</v>
      </c>
      <c r="I42" s="39">
        <v>5</v>
      </c>
      <c r="J42" s="38">
        <v>17</v>
      </c>
      <c r="K42" s="40">
        <f t="shared" si="0"/>
        <v>5.7</v>
      </c>
      <c r="L42" s="36">
        <v>1</v>
      </c>
      <c r="M42" s="41">
        <f t="shared" si="1"/>
        <v>5.8</v>
      </c>
    </row>
    <row r="43" spans="1:13" x14ac:dyDescent="0.2">
      <c r="A43" s="3"/>
      <c r="B43" s="3" t="s">
        <v>203</v>
      </c>
      <c r="C43" s="3" t="s">
        <v>204</v>
      </c>
      <c r="D43" s="32">
        <v>10</v>
      </c>
      <c r="E43" s="33">
        <v>10</v>
      </c>
      <c r="F43" s="34">
        <v>12</v>
      </c>
      <c r="G43" s="35">
        <v>5</v>
      </c>
      <c r="H43" s="37">
        <v>8</v>
      </c>
      <c r="I43" s="39">
        <v>5</v>
      </c>
      <c r="J43" s="38">
        <v>18</v>
      </c>
      <c r="K43" s="40">
        <f t="shared" si="0"/>
        <v>6.8</v>
      </c>
      <c r="L43" s="36">
        <v>14</v>
      </c>
      <c r="M43" s="41">
        <f t="shared" si="1"/>
        <v>8.1999999999999993</v>
      </c>
    </row>
    <row r="44" spans="1:13" x14ac:dyDescent="0.2">
      <c r="A44" s="3"/>
      <c r="B44" s="3" t="s">
        <v>205</v>
      </c>
      <c r="C44" s="3" t="s">
        <v>206</v>
      </c>
      <c r="D44" s="32">
        <v>10</v>
      </c>
      <c r="E44" s="33">
        <v>6</v>
      </c>
      <c r="F44" s="34">
        <v>10</v>
      </c>
      <c r="G44" s="35">
        <v>7</v>
      </c>
      <c r="H44" s="37">
        <v>9</v>
      </c>
      <c r="I44" s="39">
        <v>5</v>
      </c>
      <c r="J44" s="38">
        <v>20</v>
      </c>
      <c r="K44" s="40">
        <f t="shared" si="0"/>
        <v>6.7</v>
      </c>
      <c r="L44" s="36">
        <v>9</v>
      </c>
      <c r="M44" s="41">
        <f t="shared" si="1"/>
        <v>7.6000000000000005</v>
      </c>
    </row>
    <row r="45" spans="1:13" x14ac:dyDescent="0.2">
      <c r="A45" s="3" t="s">
        <v>207</v>
      </c>
      <c r="B45" s="3"/>
      <c r="C45" s="3" t="s">
        <v>208</v>
      </c>
      <c r="D45" s="32">
        <v>8</v>
      </c>
      <c r="E45" s="33">
        <v>7</v>
      </c>
      <c r="F45" s="34">
        <v>8</v>
      </c>
      <c r="G45" s="35">
        <v>5</v>
      </c>
      <c r="H45" s="37">
        <v>7</v>
      </c>
      <c r="I45" s="39">
        <v>5</v>
      </c>
      <c r="J45" s="38">
        <v>18</v>
      </c>
      <c r="K45" s="40">
        <f t="shared" si="0"/>
        <v>5.8</v>
      </c>
      <c r="L45" s="36">
        <v>11</v>
      </c>
      <c r="M45" s="41">
        <f t="shared" si="1"/>
        <v>6.9</v>
      </c>
    </row>
    <row r="46" spans="1:13" x14ac:dyDescent="0.2">
      <c r="A46" s="3" t="s">
        <v>209</v>
      </c>
      <c r="B46" s="3"/>
      <c r="C46" s="3" t="s">
        <v>210</v>
      </c>
      <c r="D46" s="32">
        <v>10</v>
      </c>
      <c r="E46" s="33">
        <v>6</v>
      </c>
      <c r="F46" s="34">
        <v>8</v>
      </c>
      <c r="G46" s="35">
        <v>5</v>
      </c>
      <c r="H46" s="37">
        <v>8</v>
      </c>
      <c r="I46" s="39">
        <v>5</v>
      </c>
      <c r="J46" s="38">
        <v>18</v>
      </c>
      <c r="K46" s="40">
        <f t="shared" si="0"/>
        <v>6</v>
      </c>
      <c r="L46" s="36">
        <v>17</v>
      </c>
      <c r="M46" s="41">
        <f t="shared" si="1"/>
        <v>7.7</v>
      </c>
    </row>
    <row r="47" spans="1:13" x14ac:dyDescent="0.2">
      <c r="A47" s="3" t="s">
        <v>211</v>
      </c>
      <c r="B47" s="3"/>
      <c r="C47" s="3" t="s">
        <v>212</v>
      </c>
      <c r="D47" s="32">
        <v>8</v>
      </c>
      <c r="E47" s="33">
        <v>5</v>
      </c>
      <c r="F47" s="34">
        <v>10</v>
      </c>
      <c r="G47" s="35">
        <v>5</v>
      </c>
      <c r="H47" s="37">
        <v>8</v>
      </c>
      <c r="I47" s="39">
        <v>5</v>
      </c>
      <c r="J47" s="38">
        <v>18</v>
      </c>
      <c r="K47" s="40">
        <f t="shared" si="0"/>
        <v>5.8999999999999995</v>
      </c>
      <c r="L47" s="36">
        <v>11</v>
      </c>
      <c r="M47" s="41">
        <f t="shared" si="1"/>
        <v>7</v>
      </c>
    </row>
    <row r="48" spans="1:13" x14ac:dyDescent="0.2">
      <c r="A48" s="3" t="s">
        <v>213</v>
      </c>
      <c r="B48" s="3"/>
      <c r="C48" s="3" t="s">
        <v>214</v>
      </c>
      <c r="D48" s="32">
        <v>8</v>
      </c>
      <c r="E48" s="33">
        <v>3</v>
      </c>
      <c r="F48" s="34">
        <v>8</v>
      </c>
      <c r="G48" s="35">
        <v>5</v>
      </c>
      <c r="H48" s="37">
        <v>7</v>
      </c>
      <c r="I48" s="39">
        <v>5</v>
      </c>
      <c r="J48" s="38">
        <v>16</v>
      </c>
      <c r="K48" s="40">
        <f t="shared" si="0"/>
        <v>5.2000000000000011</v>
      </c>
      <c r="L48" s="36">
        <v>1</v>
      </c>
      <c r="M48" s="41">
        <f t="shared" si="1"/>
        <v>5.3000000000000007</v>
      </c>
    </row>
    <row r="49" spans="1:13" x14ac:dyDescent="0.2">
      <c r="A49" s="3" t="s">
        <v>215</v>
      </c>
      <c r="B49" s="3"/>
      <c r="C49" s="3" t="s">
        <v>216</v>
      </c>
      <c r="D49" s="32">
        <v>10</v>
      </c>
      <c r="E49" s="33">
        <v>4</v>
      </c>
      <c r="F49" s="34">
        <v>10</v>
      </c>
      <c r="G49" s="35">
        <v>5</v>
      </c>
      <c r="H49" s="37">
        <v>5</v>
      </c>
      <c r="I49" s="39">
        <v>5</v>
      </c>
      <c r="J49" s="38">
        <v>17</v>
      </c>
      <c r="K49" s="40">
        <f t="shared" si="0"/>
        <v>5.6</v>
      </c>
      <c r="L49" s="36">
        <v>0</v>
      </c>
      <c r="M49" s="41">
        <f t="shared" si="1"/>
        <v>5.6</v>
      </c>
    </row>
    <row r="50" spans="1:13" x14ac:dyDescent="0.2">
      <c r="A50" s="3"/>
      <c r="B50" s="3" t="s">
        <v>217</v>
      </c>
      <c r="C50" s="3" t="s">
        <v>218</v>
      </c>
      <c r="D50" s="32">
        <v>10</v>
      </c>
      <c r="E50" s="33">
        <v>5</v>
      </c>
      <c r="F50" s="34">
        <v>0</v>
      </c>
      <c r="G50" s="35">
        <v>5</v>
      </c>
      <c r="H50" s="37">
        <v>7</v>
      </c>
      <c r="I50" s="39">
        <v>5</v>
      </c>
      <c r="J50" s="38">
        <v>19</v>
      </c>
      <c r="K50" s="40">
        <f t="shared" si="0"/>
        <v>5.0999999999999996</v>
      </c>
      <c r="L50" s="36">
        <v>0</v>
      </c>
      <c r="M50" s="41">
        <f t="shared" si="1"/>
        <v>5.0999999999999996</v>
      </c>
    </row>
    <row r="51" spans="1:13" x14ac:dyDescent="0.2">
      <c r="A51" s="3"/>
      <c r="B51" s="3" t="s">
        <v>219</v>
      </c>
      <c r="C51" s="3" t="s">
        <v>220</v>
      </c>
      <c r="D51" s="32">
        <v>10</v>
      </c>
      <c r="E51" s="33">
        <v>3</v>
      </c>
      <c r="F51" s="34">
        <v>10</v>
      </c>
      <c r="G51" s="35">
        <v>5</v>
      </c>
      <c r="H51" s="37">
        <v>9</v>
      </c>
      <c r="I51" s="39">
        <v>5</v>
      </c>
      <c r="J51" s="38">
        <v>17</v>
      </c>
      <c r="K51" s="40">
        <f t="shared" si="0"/>
        <v>5.8999999999999995</v>
      </c>
      <c r="L51" s="36">
        <v>3</v>
      </c>
      <c r="M51" s="41">
        <f t="shared" si="1"/>
        <v>6.1999999999999993</v>
      </c>
    </row>
    <row r="52" spans="1:13" x14ac:dyDescent="0.2">
      <c r="A52" s="3" t="s">
        <v>221</v>
      </c>
      <c r="B52" s="3"/>
      <c r="C52" s="3" t="s">
        <v>222</v>
      </c>
      <c r="D52" s="32">
        <v>0</v>
      </c>
      <c r="E52" s="33">
        <v>6</v>
      </c>
      <c r="F52" s="34">
        <v>0</v>
      </c>
      <c r="G52" s="35">
        <v>5</v>
      </c>
      <c r="H52" s="37">
        <v>8</v>
      </c>
      <c r="I52" s="39">
        <v>5</v>
      </c>
      <c r="J52" s="38">
        <v>14</v>
      </c>
      <c r="K52" s="40">
        <f t="shared" si="0"/>
        <v>3.8000000000000003</v>
      </c>
      <c r="L52" s="36">
        <v>0</v>
      </c>
      <c r="M52" s="41">
        <f t="shared" si="1"/>
        <v>3.8000000000000003</v>
      </c>
    </row>
    <row r="53" spans="1:13" x14ac:dyDescent="0.2">
      <c r="A53" s="3" t="s">
        <v>223</v>
      </c>
      <c r="B53" s="3"/>
      <c r="C53" s="3" t="s">
        <v>224</v>
      </c>
      <c r="D53" s="32">
        <v>8</v>
      </c>
      <c r="E53" s="33">
        <v>5</v>
      </c>
      <c r="F53" s="34">
        <v>0</v>
      </c>
      <c r="G53" s="35">
        <v>5</v>
      </c>
      <c r="H53" s="37">
        <v>8</v>
      </c>
      <c r="I53" s="39">
        <v>5</v>
      </c>
      <c r="J53" s="38">
        <v>20</v>
      </c>
      <c r="K53" s="40">
        <f t="shared" si="0"/>
        <v>5.0999999999999996</v>
      </c>
      <c r="L53" s="36">
        <v>0</v>
      </c>
      <c r="M53" s="41">
        <f t="shared" si="1"/>
        <v>5.0999999999999996</v>
      </c>
    </row>
    <row r="54" spans="1:13" x14ac:dyDescent="0.2">
      <c r="A54" s="3" t="s">
        <v>225</v>
      </c>
      <c r="B54" s="3"/>
      <c r="C54" s="3" t="s">
        <v>226</v>
      </c>
      <c r="D54" s="32">
        <v>10</v>
      </c>
      <c r="E54" s="33">
        <v>6</v>
      </c>
      <c r="F54" s="34">
        <v>14</v>
      </c>
      <c r="G54" s="35">
        <v>7</v>
      </c>
      <c r="H54" s="37">
        <v>8</v>
      </c>
      <c r="I54" s="39">
        <v>5</v>
      </c>
      <c r="J54" s="38">
        <v>18</v>
      </c>
      <c r="K54" s="40">
        <f t="shared" si="0"/>
        <v>6.8</v>
      </c>
      <c r="L54" s="36">
        <v>6</v>
      </c>
      <c r="M54" s="41">
        <f t="shared" si="1"/>
        <v>7.3999999999999995</v>
      </c>
    </row>
    <row r="55" spans="1:13" x14ac:dyDescent="0.2">
      <c r="A55" s="3"/>
      <c r="B55" s="3" t="s">
        <v>227</v>
      </c>
      <c r="C55" s="3" t="s">
        <v>228</v>
      </c>
      <c r="D55" s="32">
        <v>10</v>
      </c>
      <c r="E55" s="33">
        <v>5</v>
      </c>
      <c r="F55" s="34">
        <v>5</v>
      </c>
      <c r="G55" s="35">
        <v>7</v>
      </c>
      <c r="H55" s="37">
        <v>7</v>
      </c>
      <c r="I55" s="39">
        <v>5</v>
      </c>
      <c r="J55" s="38">
        <v>13</v>
      </c>
      <c r="K55" s="40">
        <f t="shared" si="0"/>
        <v>5.2</v>
      </c>
      <c r="L55" s="36">
        <v>3</v>
      </c>
      <c r="M55" s="41">
        <f t="shared" si="1"/>
        <v>5.5</v>
      </c>
    </row>
    <row r="56" spans="1:13" x14ac:dyDescent="0.2">
      <c r="A56" s="3"/>
      <c r="B56" s="3" t="s">
        <v>229</v>
      </c>
      <c r="C56" s="3" t="s">
        <v>230</v>
      </c>
      <c r="D56" s="32">
        <v>10</v>
      </c>
      <c r="E56" s="33">
        <v>5</v>
      </c>
      <c r="F56" s="34">
        <v>10</v>
      </c>
      <c r="G56" s="35">
        <v>5</v>
      </c>
      <c r="H56" s="37">
        <v>7</v>
      </c>
      <c r="I56" s="39">
        <v>5</v>
      </c>
      <c r="J56" s="38">
        <v>19</v>
      </c>
      <c r="K56" s="40">
        <f t="shared" si="0"/>
        <v>6.1</v>
      </c>
      <c r="L56" s="36">
        <v>6</v>
      </c>
      <c r="M56" s="41">
        <f t="shared" si="1"/>
        <v>6.6999999999999993</v>
      </c>
    </row>
    <row r="57" spans="1:13" x14ac:dyDescent="0.2">
      <c r="A57" s="3"/>
      <c r="B57" s="3" t="s">
        <v>231</v>
      </c>
      <c r="C57" s="3" t="s">
        <v>232</v>
      </c>
      <c r="D57" s="32">
        <v>10</v>
      </c>
      <c r="E57" s="33">
        <v>5</v>
      </c>
      <c r="F57" s="34">
        <v>10</v>
      </c>
      <c r="G57" s="35">
        <v>5</v>
      </c>
      <c r="H57" s="37">
        <v>7</v>
      </c>
      <c r="I57" s="39">
        <v>5</v>
      </c>
      <c r="J57" s="38">
        <v>15</v>
      </c>
      <c r="K57" s="40">
        <f t="shared" si="0"/>
        <v>5.7</v>
      </c>
      <c r="L57" s="36">
        <v>1</v>
      </c>
      <c r="M57" s="41">
        <f t="shared" si="1"/>
        <v>5.8</v>
      </c>
    </row>
    <row r="58" spans="1:13" x14ac:dyDescent="0.2">
      <c r="A58" s="3" t="s">
        <v>233</v>
      </c>
      <c r="B58" s="3"/>
      <c r="C58" s="3" t="s">
        <v>234</v>
      </c>
      <c r="D58" s="32">
        <v>0</v>
      </c>
      <c r="E58" s="33">
        <v>4</v>
      </c>
      <c r="F58" s="34">
        <v>10</v>
      </c>
      <c r="G58" s="35">
        <v>5</v>
      </c>
      <c r="H58" s="37">
        <v>6</v>
      </c>
      <c r="I58" s="39">
        <v>4</v>
      </c>
      <c r="J58" s="38">
        <v>15</v>
      </c>
      <c r="K58" s="40">
        <f t="shared" si="0"/>
        <v>4.4000000000000004</v>
      </c>
      <c r="L58" s="36">
        <v>0</v>
      </c>
      <c r="M58" s="41">
        <f t="shared" si="1"/>
        <v>4.4000000000000004</v>
      </c>
    </row>
    <row r="59" spans="1:13" x14ac:dyDescent="0.2">
      <c r="A59" s="3" t="s">
        <v>235</v>
      </c>
      <c r="B59" s="3"/>
      <c r="C59" s="3" t="s">
        <v>236</v>
      </c>
      <c r="D59" s="32">
        <v>10</v>
      </c>
      <c r="E59" s="33">
        <v>5</v>
      </c>
      <c r="F59" s="34">
        <v>10</v>
      </c>
      <c r="G59" s="35">
        <v>5</v>
      </c>
      <c r="H59" s="37">
        <v>7</v>
      </c>
      <c r="I59" s="39">
        <v>5</v>
      </c>
      <c r="J59" s="38">
        <v>18</v>
      </c>
      <c r="K59" s="40">
        <f t="shared" si="0"/>
        <v>6</v>
      </c>
      <c r="L59" s="36">
        <v>1</v>
      </c>
      <c r="M59" s="41">
        <f t="shared" si="1"/>
        <v>6.1</v>
      </c>
    </row>
    <row r="60" spans="1:13" x14ac:dyDescent="0.2">
      <c r="A60" s="3" t="s">
        <v>237</v>
      </c>
      <c r="B60" s="3"/>
      <c r="C60" s="3" t="s">
        <v>238</v>
      </c>
      <c r="D60" s="32">
        <v>8</v>
      </c>
      <c r="E60" s="33">
        <v>6</v>
      </c>
      <c r="F60" s="34">
        <v>8</v>
      </c>
      <c r="G60" s="35">
        <v>5</v>
      </c>
      <c r="H60" s="37">
        <v>7</v>
      </c>
      <c r="I60" s="39">
        <v>5</v>
      </c>
      <c r="J60" s="38">
        <v>18</v>
      </c>
      <c r="K60" s="40">
        <f t="shared" si="0"/>
        <v>5.7</v>
      </c>
      <c r="L60" s="36">
        <v>0</v>
      </c>
      <c r="M60" s="41">
        <f t="shared" si="1"/>
        <v>5.7</v>
      </c>
    </row>
    <row r="61" spans="1:13" x14ac:dyDescent="0.2">
      <c r="A61" s="3"/>
      <c r="B61" s="3" t="s">
        <v>239</v>
      </c>
      <c r="C61" s="3" t="s">
        <v>240</v>
      </c>
      <c r="D61" s="32">
        <v>10</v>
      </c>
      <c r="E61" s="33">
        <v>5</v>
      </c>
      <c r="F61" s="34">
        <v>0</v>
      </c>
      <c r="G61" s="35">
        <v>5</v>
      </c>
      <c r="H61" s="37">
        <v>8</v>
      </c>
      <c r="I61" s="39">
        <v>5</v>
      </c>
      <c r="J61" s="38">
        <v>17</v>
      </c>
      <c r="K61" s="40">
        <f t="shared" si="0"/>
        <v>5</v>
      </c>
      <c r="L61" s="36">
        <v>4</v>
      </c>
      <c r="M61" s="41">
        <f t="shared" si="1"/>
        <v>5.4</v>
      </c>
    </row>
    <row r="62" spans="1:13" x14ac:dyDescent="0.2">
      <c r="A62" s="3"/>
      <c r="B62" s="3"/>
      <c r="C62" s="30" t="s">
        <v>467</v>
      </c>
      <c r="D62" s="32">
        <v>0</v>
      </c>
      <c r="E62" s="33">
        <v>9</v>
      </c>
      <c r="F62" s="34">
        <v>10</v>
      </c>
      <c r="G62" s="35">
        <v>5</v>
      </c>
      <c r="H62" s="37">
        <v>8</v>
      </c>
      <c r="I62" s="39">
        <v>5</v>
      </c>
      <c r="J62" s="38">
        <v>11</v>
      </c>
      <c r="K62" s="40">
        <f t="shared" si="0"/>
        <v>4.8000000000000007</v>
      </c>
      <c r="L62" s="36">
        <v>0</v>
      </c>
      <c r="M62" s="41">
        <f t="shared" si="1"/>
        <v>4.8000000000000007</v>
      </c>
    </row>
  </sheetData>
  <mergeCells count="1">
    <mergeCell ref="A1:L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74"/>
  <sheetViews>
    <sheetView tabSelected="1" workbookViewId="0">
      <selection activeCell="M2" sqref="M2:M62"/>
    </sheetView>
  </sheetViews>
  <sheetFormatPr baseColWidth="10" defaultRowHeight="12.75" x14ac:dyDescent="0.2"/>
  <cols>
    <col min="1" max="2" width="2.7109375" style="7" bestFit="1" customWidth="1"/>
    <col min="3" max="3" width="33.28515625" style="7" bestFit="1" customWidth="1"/>
    <col min="4" max="5" width="5.140625" style="7" bestFit="1" customWidth="1"/>
    <col min="6" max="6" width="5.5703125" style="7" bestFit="1" customWidth="1"/>
    <col min="7" max="7" width="4.85546875" style="7" bestFit="1" customWidth="1"/>
    <col min="8" max="8" width="7.5703125" style="7" bestFit="1" customWidth="1"/>
    <col min="9" max="9" width="6.140625" style="7" customWidth="1"/>
    <col min="10" max="10" width="4.85546875" style="7" bestFit="1" customWidth="1"/>
    <col min="11" max="11" width="6.42578125" style="7" bestFit="1" customWidth="1"/>
    <col min="12" max="12" width="5.5703125" style="7" bestFit="1" customWidth="1"/>
    <col min="13" max="13" width="9.28515625" style="7" customWidth="1"/>
    <col min="14" max="14" width="5.85546875" style="7" bestFit="1" customWidth="1"/>
    <col min="15" max="15" width="4.140625" style="7" customWidth="1"/>
    <col min="16" max="16" width="5.5703125" style="7" customWidth="1"/>
    <col min="17" max="17" width="4.28515625" style="7" customWidth="1"/>
    <col min="18" max="18" width="8.140625" style="7" customWidth="1"/>
    <col min="19" max="16384" width="11.42578125" style="7"/>
  </cols>
  <sheetData>
    <row r="1" spans="1:26" ht="18.75" x14ac:dyDescent="0.3">
      <c r="A1" s="48" t="s">
        <v>479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59" t="s">
        <v>477</v>
      </c>
      <c r="N1" s="59"/>
      <c r="O1" s="59"/>
      <c r="P1" s="59"/>
      <c r="Q1" s="59"/>
      <c r="R1" s="59"/>
      <c r="S1" s="60"/>
      <c r="T1"/>
      <c r="U1"/>
      <c r="V1"/>
      <c r="W1"/>
      <c r="X1"/>
      <c r="Y1"/>
      <c r="Z1"/>
    </row>
    <row r="2" spans="1:26" x14ac:dyDescent="0.2">
      <c r="A2" s="3" t="s">
        <v>52</v>
      </c>
      <c r="B2" s="3" t="s">
        <v>121</v>
      </c>
      <c r="C2" s="3" t="s">
        <v>122</v>
      </c>
      <c r="D2" s="32" t="s">
        <v>468</v>
      </c>
      <c r="E2" s="33" t="s">
        <v>112</v>
      </c>
      <c r="F2" s="34" t="s">
        <v>469</v>
      </c>
      <c r="G2" s="35" t="s">
        <v>470</v>
      </c>
      <c r="H2" s="37" t="s">
        <v>113</v>
      </c>
      <c r="I2" s="39" t="s">
        <v>476</v>
      </c>
      <c r="J2" s="40" t="s">
        <v>474</v>
      </c>
      <c r="K2" s="36" t="s">
        <v>475</v>
      </c>
      <c r="L2" s="41" t="s">
        <v>473</v>
      </c>
      <c r="M2" s="57" t="s">
        <v>485</v>
      </c>
      <c r="N2" s="25"/>
      <c r="O2" s="25"/>
      <c r="P2" s="25"/>
      <c r="Q2" s="25"/>
      <c r="R2" s="25"/>
      <c r="S2" s="52" t="s">
        <v>486</v>
      </c>
      <c r="T2"/>
      <c r="U2"/>
      <c r="V2"/>
      <c r="W2"/>
      <c r="X2"/>
      <c r="Y2"/>
      <c r="Z2"/>
    </row>
    <row r="3" spans="1:26" x14ac:dyDescent="0.2">
      <c r="A3" s="3" t="s">
        <v>123</v>
      </c>
      <c r="B3" s="3"/>
      <c r="C3" s="3" t="s">
        <v>241</v>
      </c>
      <c r="D3" s="32">
        <v>14</v>
      </c>
      <c r="E3" s="33">
        <v>6</v>
      </c>
      <c r="F3" s="34">
        <v>10</v>
      </c>
      <c r="G3" s="35">
        <v>5</v>
      </c>
      <c r="H3" s="37">
        <v>8</v>
      </c>
      <c r="I3" s="39">
        <v>33</v>
      </c>
      <c r="J3" s="40">
        <f>(D3/10)+(E3/10)+(F3/10)+(G3/10)+(H3/10)+(I3*2.5/50)</f>
        <v>5.9499999999999993</v>
      </c>
      <c r="K3" s="36">
        <v>6</v>
      </c>
      <c r="L3" s="41">
        <f>(J3)+(K3/10)</f>
        <v>6.5499999999999989</v>
      </c>
      <c r="M3" s="58">
        <v>1</v>
      </c>
      <c r="N3" s="55">
        <v>2</v>
      </c>
      <c r="O3" s="50">
        <v>4</v>
      </c>
      <c r="P3" s="50">
        <v>10</v>
      </c>
      <c r="Q3" s="50">
        <v>9</v>
      </c>
      <c r="R3" s="50">
        <v>8</v>
      </c>
      <c r="S3" s="54">
        <f>SUM(N3:R3)</f>
        <v>33</v>
      </c>
      <c r="T3"/>
      <c r="U3"/>
      <c r="V3"/>
      <c r="W3"/>
      <c r="X3"/>
      <c r="Y3"/>
      <c r="Z3"/>
    </row>
    <row r="4" spans="1:26" x14ac:dyDescent="0.2">
      <c r="A4" s="3" t="s">
        <v>125</v>
      </c>
      <c r="B4" s="3"/>
      <c r="C4" s="3" t="s">
        <v>242</v>
      </c>
      <c r="D4" s="32">
        <v>14</v>
      </c>
      <c r="E4" s="33">
        <v>5</v>
      </c>
      <c r="F4" s="34">
        <v>10</v>
      </c>
      <c r="G4" s="35">
        <v>0</v>
      </c>
      <c r="H4" s="37">
        <v>7</v>
      </c>
      <c r="I4" s="39">
        <v>28</v>
      </c>
      <c r="J4" s="40">
        <f t="shared" ref="J4:J62" si="0">(D4/10)+(E4/10)+(F4/10)+(G4/10)+(H4/10)+(I4*2.5/50)</f>
        <v>5</v>
      </c>
      <c r="K4" s="36">
        <v>0</v>
      </c>
      <c r="L4" s="41">
        <f t="shared" ref="L4:L62" si="1">(J4)+(K4/10)</f>
        <v>5</v>
      </c>
      <c r="M4" s="58">
        <v>2</v>
      </c>
      <c r="N4" s="55">
        <v>6</v>
      </c>
      <c r="O4" s="50">
        <v>2</v>
      </c>
      <c r="P4" s="50">
        <v>5</v>
      </c>
      <c r="Q4" s="50">
        <v>10</v>
      </c>
      <c r="R4" s="50">
        <v>5</v>
      </c>
      <c r="S4" s="54">
        <f t="shared" ref="S4:S62" si="2">SUM(N4:R4)</f>
        <v>28</v>
      </c>
      <c r="T4"/>
      <c r="U4"/>
      <c r="V4"/>
      <c r="W4"/>
      <c r="X4"/>
      <c r="Y4"/>
      <c r="Z4"/>
    </row>
    <row r="5" spans="1:26" x14ac:dyDescent="0.2">
      <c r="A5" s="3" t="s">
        <v>127</v>
      </c>
      <c r="B5" s="3"/>
      <c r="C5" s="3" t="s">
        <v>243</v>
      </c>
      <c r="D5" s="32">
        <v>14</v>
      </c>
      <c r="E5" s="33">
        <v>7</v>
      </c>
      <c r="F5" s="34">
        <v>14</v>
      </c>
      <c r="G5" s="35">
        <v>5</v>
      </c>
      <c r="H5" s="37">
        <v>8</v>
      </c>
      <c r="I5" s="39">
        <v>50</v>
      </c>
      <c r="J5" s="40">
        <f t="shared" si="0"/>
        <v>7.3</v>
      </c>
      <c r="K5" s="36">
        <v>24</v>
      </c>
      <c r="L5" s="41">
        <f t="shared" si="1"/>
        <v>9.6999999999999993</v>
      </c>
      <c r="M5" s="58">
        <v>3</v>
      </c>
      <c r="N5" s="55">
        <v>10</v>
      </c>
      <c r="O5" s="50">
        <v>10</v>
      </c>
      <c r="P5" s="50">
        <v>10</v>
      </c>
      <c r="Q5" s="50">
        <v>10</v>
      </c>
      <c r="R5" s="50">
        <v>10</v>
      </c>
      <c r="S5" s="54">
        <f t="shared" si="2"/>
        <v>50</v>
      </c>
      <c r="T5"/>
      <c r="U5"/>
      <c r="V5"/>
      <c r="W5"/>
      <c r="X5"/>
      <c r="Y5"/>
      <c r="Z5"/>
    </row>
    <row r="6" spans="1:26" x14ac:dyDescent="0.2">
      <c r="A6" s="3" t="s">
        <v>129</v>
      </c>
      <c r="B6" s="3"/>
      <c r="C6" s="3" t="s">
        <v>244</v>
      </c>
      <c r="D6" s="32">
        <v>14</v>
      </c>
      <c r="E6" s="33">
        <v>7</v>
      </c>
      <c r="F6" s="34">
        <v>10</v>
      </c>
      <c r="G6" s="35">
        <v>5</v>
      </c>
      <c r="H6" s="37">
        <v>8</v>
      </c>
      <c r="I6" s="39">
        <v>44</v>
      </c>
      <c r="J6" s="40">
        <f t="shared" si="0"/>
        <v>6.6</v>
      </c>
      <c r="K6" s="36">
        <v>18</v>
      </c>
      <c r="L6" s="41">
        <f t="shared" si="1"/>
        <v>8.4</v>
      </c>
      <c r="M6" s="58">
        <v>4</v>
      </c>
      <c r="N6" s="55">
        <v>9</v>
      </c>
      <c r="O6" s="50">
        <v>10</v>
      </c>
      <c r="P6" s="50">
        <v>10</v>
      </c>
      <c r="Q6" s="50">
        <v>10</v>
      </c>
      <c r="R6" s="50">
        <v>5</v>
      </c>
      <c r="S6" s="54">
        <f t="shared" si="2"/>
        <v>44</v>
      </c>
      <c r="T6"/>
      <c r="U6"/>
      <c r="V6"/>
      <c r="W6"/>
      <c r="X6"/>
      <c r="Y6"/>
      <c r="Z6"/>
    </row>
    <row r="7" spans="1:26" x14ac:dyDescent="0.2">
      <c r="A7" s="3"/>
      <c r="B7" s="3" t="s">
        <v>131</v>
      </c>
      <c r="C7" s="3" t="s">
        <v>245</v>
      </c>
      <c r="D7" s="32">
        <v>8</v>
      </c>
      <c r="E7" s="33">
        <v>5</v>
      </c>
      <c r="F7" s="34">
        <v>10</v>
      </c>
      <c r="G7" s="35">
        <v>5</v>
      </c>
      <c r="H7" s="37">
        <v>7</v>
      </c>
      <c r="I7" s="39">
        <v>42</v>
      </c>
      <c r="J7" s="40">
        <f t="shared" si="0"/>
        <v>5.6</v>
      </c>
      <c r="K7" s="36">
        <v>0</v>
      </c>
      <c r="L7" s="41">
        <f t="shared" si="1"/>
        <v>5.6</v>
      </c>
      <c r="M7" s="58">
        <v>5</v>
      </c>
      <c r="N7" s="55">
        <v>8</v>
      </c>
      <c r="O7" s="50">
        <v>7</v>
      </c>
      <c r="P7" s="50">
        <v>9</v>
      </c>
      <c r="Q7" s="50">
        <v>8</v>
      </c>
      <c r="R7" s="50">
        <v>10</v>
      </c>
      <c r="S7" s="54">
        <f t="shared" si="2"/>
        <v>42</v>
      </c>
      <c r="T7"/>
      <c r="U7"/>
      <c r="V7"/>
      <c r="W7"/>
      <c r="X7"/>
      <c r="Y7"/>
      <c r="Z7"/>
    </row>
    <row r="8" spans="1:26" x14ac:dyDescent="0.2">
      <c r="A8" s="3"/>
      <c r="B8" s="3" t="s">
        <v>133</v>
      </c>
      <c r="C8" s="3" t="s">
        <v>246</v>
      </c>
      <c r="D8" s="32">
        <v>0</v>
      </c>
      <c r="E8" s="33">
        <v>0</v>
      </c>
      <c r="F8" s="34">
        <v>5</v>
      </c>
      <c r="G8" s="35">
        <v>0</v>
      </c>
      <c r="H8" s="37">
        <v>0</v>
      </c>
      <c r="I8" s="39">
        <v>20</v>
      </c>
      <c r="J8" s="40">
        <f t="shared" si="0"/>
        <v>1.5</v>
      </c>
      <c r="K8" s="36">
        <v>1</v>
      </c>
      <c r="L8" s="41">
        <f t="shared" si="1"/>
        <v>1.6</v>
      </c>
      <c r="M8" s="58">
        <v>6</v>
      </c>
      <c r="N8" s="55">
        <v>2</v>
      </c>
      <c r="O8" s="50">
        <v>4</v>
      </c>
      <c r="P8" s="50">
        <v>4</v>
      </c>
      <c r="Q8" s="50">
        <v>0</v>
      </c>
      <c r="R8" s="50">
        <v>10</v>
      </c>
      <c r="S8" s="54">
        <f t="shared" si="2"/>
        <v>20</v>
      </c>
      <c r="T8"/>
      <c r="U8"/>
      <c r="V8"/>
      <c r="W8"/>
      <c r="X8"/>
      <c r="Y8"/>
      <c r="Z8"/>
    </row>
    <row r="9" spans="1:26" x14ac:dyDescent="0.2">
      <c r="A9" s="3"/>
      <c r="B9" s="3" t="s">
        <v>135</v>
      </c>
      <c r="C9" s="3" t="s">
        <v>247</v>
      </c>
      <c r="D9" s="32">
        <v>10</v>
      </c>
      <c r="E9" s="33">
        <v>8</v>
      </c>
      <c r="F9" s="34">
        <v>10</v>
      </c>
      <c r="G9" s="35">
        <v>5</v>
      </c>
      <c r="H9" s="37">
        <v>8</v>
      </c>
      <c r="I9" s="39">
        <v>48</v>
      </c>
      <c r="J9" s="40">
        <f t="shared" si="0"/>
        <v>6.5</v>
      </c>
      <c r="K9" s="36">
        <v>4</v>
      </c>
      <c r="L9" s="41">
        <f t="shared" si="1"/>
        <v>6.9</v>
      </c>
      <c r="M9" s="58">
        <v>7</v>
      </c>
      <c r="N9" s="55">
        <v>10</v>
      </c>
      <c r="O9" s="50">
        <v>8</v>
      </c>
      <c r="P9" s="50">
        <v>10</v>
      </c>
      <c r="Q9" s="50">
        <v>10</v>
      </c>
      <c r="R9" s="50">
        <v>10</v>
      </c>
      <c r="S9" s="54">
        <f t="shared" si="2"/>
        <v>48</v>
      </c>
      <c r="T9"/>
      <c r="U9"/>
      <c r="V9"/>
      <c r="W9"/>
      <c r="X9"/>
      <c r="Y9"/>
      <c r="Z9"/>
    </row>
    <row r="10" spans="1:26" x14ac:dyDescent="0.2">
      <c r="A10" s="3"/>
      <c r="B10" s="3" t="s">
        <v>137</v>
      </c>
      <c r="C10" s="3" t="s">
        <v>248</v>
      </c>
      <c r="D10" s="32">
        <v>0</v>
      </c>
      <c r="E10" s="33">
        <v>8</v>
      </c>
      <c r="F10" s="34">
        <v>0</v>
      </c>
      <c r="G10" s="35">
        <v>0</v>
      </c>
      <c r="H10" s="37">
        <v>0</v>
      </c>
      <c r="I10" s="39">
        <v>30</v>
      </c>
      <c r="J10" s="40">
        <f t="shared" si="0"/>
        <v>2.2999999999999998</v>
      </c>
      <c r="K10" s="36">
        <v>0</v>
      </c>
      <c r="L10" s="41">
        <f t="shared" si="1"/>
        <v>2.2999999999999998</v>
      </c>
      <c r="M10" s="58">
        <v>8</v>
      </c>
      <c r="N10" s="55">
        <v>9</v>
      </c>
      <c r="O10" s="50">
        <v>5</v>
      </c>
      <c r="P10" s="50">
        <v>6</v>
      </c>
      <c r="Q10" s="50">
        <v>5</v>
      </c>
      <c r="R10" s="50">
        <v>5</v>
      </c>
      <c r="S10" s="54">
        <f t="shared" si="2"/>
        <v>30</v>
      </c>
      <c r="T10"/>
      <c r="U10"/>
      <c r="V10"/>
      <c r="W10"/>
      <c r="X10"/>
      <c r="Y10"/>
      <c r="Z10"/>
    </row>
    <row r="11" spans="1:26" x14ac:dyDescent="0.2">
      <c r="A11" s="3" t="s">
        <v>139</v>
      </c>
      <c r="B11" s="3"/>
      <c r="C11" s="3" t="s">
        <v>249</v>
      </c>
      <c r="D11" s="32">
        <v>14</v>
      </c>
      <c r="E11" s="33">
        <v>4</v>
      </c>
      <c r="F11" s="34">
        <v>10</v>
      </c>
      <c r="G11" s="35">
        <v>5</v>
      </c>
      <c r="H11" s="37">
        <v>8</v>
      </c>
      <c r="I11" s="39">
        <v>48</v>
      </c>
      <c r="J11" s="40">
        <f t="shared" si="0"/>
        <v>6.5</v>
      </c>
      <c r="K11" s="36">
        <v>9</v>
      </c>
      <c r="L11" s="41">
        <f t="shared" si="1"/>
        <v>7.4</v>
      </c>
      <c r="M11" s="58">
        <v>9</v>
      </c>
      <c r="N11" s="55">
        <v>10</v>
      </c>
      <c r="O11" s="50">
        <v>10</v>
      </c>
      <c r="P11" s="50">
        <v>8</v>
      </c>
      <c r="Q11" s="50">
        <v>10</v>
      </c>
      <c r="R11" s="50">
        <v>10</v>
      </c>
      <c r="S11" s="54">
        <f t="shared" si="2"/>
        <v>48</v>
      </c>
      <c r="T11"/>
      <c r="U11"/>
      <c r="V11"/>
      <c r="W11"/>
      <c r="X11"/>
      <c r="Y11"/>
      <c r="Z11"/>
    </row>
    <row r="12" spans="1:26" x14ac:dyDescent="0.2">
      <c r="A12" s="3"/>
      <c r="B12" s="3" t="s">
        <v>141</v>
      </c>
      <c r="C12" s="3" t="s">
        <v>250</v>
      </c>
      <c r="D12" s="32">
        <v>14</v>
      </c>
      <c r="E12" s="33">
        <v>7</v>
      </c>
      <c r="F12" s="34">
        <v>10</v>
      </c>
      <c r="G12" s="35">
        <v>5</v>
      </c>
      <c r="H12" s="37">
        <v>8</v>
      </c>
      <c r="I12" s="39">
        <v>49</v>
      </c>
      <c r="J12" s="40">
        <f t="shared" si="0"/>
        <v>6.85</v>
      </c>
      <c r="K12" s="36">
        <v>14</v>
      </c>
      <c r="L12" s="41">
        <f t="shared" si="1"/>
        <v>8.25</v>
      </c>
      <c r="M12" s="58">
        <v>10</v>
      </c>
      <c r="N12" s="55">
        <v>10</v>
      </c>
      <c r="O12" s="50">
        <v>9</v>
      </c>
      <c r="P12" s="50">
        <v>10</v>
      </c>
      <c r="Q12" s="50">
        <v>10</v>
      </c>
      <c r="R12" s="50">
        <v>10</v>
      </c>
      <c r="S12" s="54">
        <f t="shared" si="2"/>
        <v>49</v>
      </c>
      <c r="T12"/>
      <c r="U12"/>
      <c r="V12"/>
      <c r="W12"/>
      <c r="X12"/>
      <c r="Y12"/>
      <c r="Z12"/>
    </row>
    <row r="13" spans="1:26" x14ac:dyDescent="0.2">
      <c r="A13" s="3" t="s">
        <v>143</v>
      </c>
      <c r="B13" s="3"/>
      <c r="C13" s="3" t="s">
        <v>251</v>
      </c>
      <c r="D13" s="32">
        <v>0</v>
      </c>
      <c r="E13" s="33">
        <v>6</v>
      </c>
      <c r="F13" s="34">
        <v>0</v>
      </c>
      <c r="G13" s="35">
        <v>0</v>
      </c>
      <c r="H13" s="37">
        <v>7</v>
      </c>
      <c r="I13" s="39">
        <v>29</v>
      </c>
      <c r="J13" s="40">
        <f t="shared" si="0"/>
        <v>2.75</v>
      </c>
      <c r="K13" s="36">
        <v>0</v>
      </c>
      <c r="L13" s="41">
        <f t="shared" si="1"/>
        <v>2.75</v>
      </c>
      <c r="M13" s="58">
        <v>11</v>
      </c>
      <c r="N13" s="55">
        <v>6</v>
      </c>
      <c r="O13" s="50">
        <v>6</v>
      </c>
      <c r="P13" s="50">
        <v>4</v>
      </c>
      <c r="Q13" s="50">
        <v>5</v>
      </c>
      <c r="R13" s="50">
        <v>8</v>
      </c>
      <c r="S13" s="54">
        <f t="shared" si="2"/>
        <v>29</v>
      </c>
      <c r="T13"/>
      <c r="U13"/>
      <c r="V13"/>
      <c r="W13"/>
      <c r="X13"/>
      <c r="Y13"/>
      <c r="Z13"/>
    </row>
    <row r="14" spans="1:26" x14ac:dyDescent="0.2">
      <c r="A14" s="3"/>
      <c r="B14" s="3" t="s">
        <v>145</v>
      </c>
      <c r="C14" s="3" t="s">
        <v>252</v>
      </c>
      <c r="D14" s="32">
        <v>8</v>
      </c>
      <c r="E14" s="33">
        <v>8</v>
      </c>
      <c r="F14" s="34">
        <v>10</v>
      </c>
      <c r="G14" s="35">
        <v>5</v>
      </c>
      <c r="H14" s="37">
        <v>8</v>
      </c>
      <c r="I14" s="39">
        <v>43</v>
      </c>
      <c r="J14" s="40">
        <f t="shared" si="0"/>
        <v>6.0500000000000007</v>
      </c>
      <c r="K14" s="36">
        <v>4</v>
      </c>
      <c r="L14" s="41">
        <f t="shared" si="1"/>
        <v>6.4500000000000011</v>
      </c>
      <c r="M14" s="58">
        <v>12</v>
      </c>
      <c r="N14" s="55">
        <v>10</v>
      </c>
      <c r="O14" s="50">
        <v>9</v>
      </c>
      <c r="P14" s="50">
        <v>6</v>
      </c>
      <c r="Q14" s="50">
        <v>10</v>
      </c>
      <c r="R14" s="50">
        <v>8</v>
      </c>
      <c r="S14" s="54">
        <f t="shared" si="2"/>
        <v>43</v>
      </c>
      <c r="T14"/>
      <c r="U14"/>
      <c r="V14"/>
      <c r="W14"/>
      <c r="X14"/>
      <c r="Y14"/>
      <c r="Z14"/>
    </row>
    <row r="15" spans="1:26" x14ac:dyDescent="0.2">
      <c r="A15" s="3" t="s">
        <v>147</v>
      </c>
      <c r="B15" s="3"/>
      <c r="C15" s="3" t="s">
        <v>253</v>
      </c>
      <c r="D15" s="32">
        <v>0</v>
      </c>
      <c r="E15" s="33">
        <v>0</v>
      </c>
      <c r="F15" s="34">
        <v>0</v>
      </c>
      <c r="G15" s="35">
        <v>0</v>
      </c>
      <c r="H15" s="37">
        <v>6</v>
      </c>
      <c r="I15" s="39">
        <v>24</v>
      </c>
      <c r="J15" s="40">
        <f t="shared" si="0"/>
        <v>1.7999999999999998</v>
      </c>
      <c r="K15" s="36">
        <v>0</v>
      </c>
      <c r="L15" s="41">
        <f t="shared" si="1"/>
        <v>1.7999999999999998</v>
      </c>
      <c r="M15" s="58">
        <v>13</v>
      </c>
      <c r="N15" s="55">
        <v>7</v>
      </c>
      <c r="O15" s="50">
        <v>2</v>
      </c>
      <c r="P15" s="50">
        <v>10</v>
      </c>
      <c r="Q15" s="50">
        <v>5</v>
      </c>
      <c r="R15" s="50">
        <v>0</v>
      </c>
      <c r="S15" s="54">
        <f t="shared" si="2"/>
        <v>24</v>
      </c>
      <c r="T15"/>
      <c r="U15"/>
      <c r="V15"/>
      <c r="W15"/>
      <c r="X15"/>
      <c r="Y15"/>
      <c r="Z15"/>
    </row>
    <row r="16" spans="1:26" x14ac:dyDescent="0.2">
      <c r="A16" s="3"/>
      <c r="B16" s="3" t="s">
        <v>149</v>
      </c>
      <c r="C16" s="3" t="s">
        <v>254</v>
      </c>
      <c r="D16" s="32">
        <v>14</v>
      </c>
      <c r="E16" s="33">
        <v>5</v>
      </c>
      <c r="F16" s="34">
        <v>6</v>
      </c>
      <c r="G16" s="35">
        <v>5</v>
      </c>
      <c r="H16" s="37">
        <v>5</v>
      </c>
      <c r="I16" s="39">
        <v>43</v>
      </c>
      <c r="J16" s="40">
        <f t="shared" si="0"/>
        <v>5.65</v>
      </c>
      <c r="K16" s="36">
        <v>0</v>
      </c>
      <c r="L16" s="41">
        <f t="shared" si="1"/>
        <v>5.65</v>
      </c>
      <c r="M16" s="58">
        <v>14</v>
      </c>
      <c r="N16" s="55">
        <v>6</v>
      </c>
      <c r="O16" s="50">
        <v>7</v>
      </c>
      <c r="P16" s="50">
        <v>10</v>
      </c>
      <c r="Q16" s="50">
        <v>10</v>
      </c>
      <c r="R16" s="50">
        <v>10</v>
      </c>
      <c r="S16" s="54">
        <f t="shared" si="2"/>
        <v>43</v>
      </c>
      <c r="T16"/>
      <c r="U16"/>
      <c r="V16"/>
      <c r="W16"/>
      <c r="X16"/>
      <c r="Y16"/>
      <c r="Z16"/>
    </row>
    <row r="17" spans="1:26" x14ac:dyDescent="0.2">
      <c r="A17" s="3" t="s">
        <v>151</v>
      </c>
      <c r="B17" s="3"/>
      <c r="C17" s="3" t="s">
        <v>255</v>
      </c>
      <c r="D17" s="32">
        <v>9</v>
      </c>
      <c r="E17" s="33">
        <v>5</v>
      </c>
      <c r="F17" s="34">
        <v>10</v>
      </c>
      <c r="G17" s="35">
        <v>0</v>
      </c>
      <c r="H17" s="37">
        <v>5</v>
      </c>
      <c r="I17" s="39">
        <v>33</v>
      </c>
      <c r="J17" s="40">
        <f t="shared" si="0"/>
        <v>4.55</v>
      </c>
      <c r="K17" s="36">
        <v>0</v>
      </c>
      <c r="L17" s="41">
        <f t="shared" si="1"/>
        <v>4.55</v>
      </c>
      <c r="M17" s="58">
        <v>15</v>
      </c>
      <c r="N17" s="55">
        <v>9</v>
      </c>
      <c r="O17" s="50">
        <v>7</v>
      </c>
      <c r="P17" s="50">
        <v>7</v>
      </c>
      <c r="Q17" s="50">
        <v>10</v>
      </c>
      <c r="R17" s="50">
        <v>0</v>
      </c>
      <c r="S17" s="54">
        <f t="shared" si="2"/>
        <v>33</v>
      </c>
      <c r="T17"/>
      <c r="U17"/>
      <c r="V17"/>
      <c r="W17"/>
      <c r="X17"/>
      <c r="Y17"/>
      <c r="Z17"/>
    </row>
    <row r="18" spans="1:26" x14ac:dyDescent="0.2">
      <c r="A18" s="3"/>
      <c r="B18" s="3" t="s">
        <v>153</v>
      </c>
      <c r="C18" s="3" t="s">
        <v>256</v>
      </c>
      <c r="D18" s="32">
        <v>5</v>
      </c>
      <c r="E18" s="33">
        <v>8</v>
      </c>
      <c r="F18" s="34">
        <v>5</v>
      </c>
      <c r="G18" s="35">
        <v>5</v>
      </c>
      <c r="H18" s="37">
        <v>8</v>
      </c>
      <c r="I18" s="39">
        <v>46</v>
      </c>
      <c r="J18" s="40">
        <f t="shared" si="0"/>
        <v>5.3999999999999995</v>
      </c>
      <c r="K18" s="36">
        <v>0</v>
      </c>
      <c r="L18" s="41">
        <f t="shared" si="1"/>
        <v>5.3999999999999995</v>
      </c>
      <c r="M18" s="58">
        <v>16</v>
      </c>
      <c r="N18" s="55">
        <v>10</v>
      </c>
      <c r="O18" s="50">
        <v>8</v>
      </c>
      <c r="P18" s="50">
        <v>8</v>
      </c>
      <c r="Q18" s="50">
        <v>10</v>
      </c>
      <c r="R18" s="50">
        <v>10</v>
      </c>
      <c r="S18" s="54">
        <f t="shared" si="2"/>
        <v>46</v>
      </c>
      <c r="T18"/>
      <c r="U18"/>
      <c r="V18"/>
      <c r="W18"/>
      <c r="X18"/>
      <c r="Y18"/>
      <c r="Z18"/>
    </row>
    <row r="19" spans="1:26" x14ac:dyDescent="0.2">
      <c r="A19" s="3"/>
      <c r="B19" s="3" t="s">
        <v>155</v>
      </c>
      <c r="C19" s="3" t="s">
        <v>257</v>
      </c>
      <c r="D19" s="32">
        <v>8</v>
      </c>
      <c r="E19" s="33">
        <v>8</v>
      </c>
      <c r="F19" s="34">
        <v>10</v>
      </c>
      <c r="G19" s="35">
        <v>5</v>
      </c>
      <c r="H19" s="37">
        <v>8</v>
      </c>
      <c r="I19" s="39">
        <v>44</v>
      </c>
      <c r="J19" s="40">
        <f t="shared" si="0"/>
        <v>6.1000000000000005</v>
      </c>
      <c r="K19" s="36">
        <v>0</v>
      </c>
      <c r="L19" s="41">
        <f t="shared" si="1"/>
        <v>6.1000000000000005</v>
      </c>
      <c r="M19" s="58">
        <v>17</v>
      </c>
      <c r="N19" s="55">
        <v>10</v>
      </c>
      <c r="O19" s="50">
        <v>8</v>
      </c>
      <c r="P19" s="50">
        <v>8</v>
      </c>
      <c r="Q19" s="50">
        <v>10</v>
      </c>
      <c r="R19" s="50">
        <v>8</v>
      </c>
      <c r="S19" s="54">
        <f t="shared" si="2"/>
        <v>44</v>
      </c>
      <c r="T19"/>
      <c r="U19"/>
      <c r="V19"/>
      <c r="W19"/>
      <c r="X19"/>
      <c r="Y19"/>
      <c r="Z19"/>
    </row>
    <row r="20" spans="1:26" x14ac:dyDescent="0.2">
      <c r="A20" s="3" t="s">
        <v>157</v>
      </c>
      <c r="B20" s="3"/>
      <c r="C20" s="3" t="s">
        <v>258</v>
      </c>
      <c r="D20" s="32">
        <v>5</v>
      </c>
      <c r="E20" s="33">
        <v>5</v>
      </c>
      <c r="F20" s="34">
        <v>8</v>
      </c>
      <c r="G20" s="35">
        <v>0</v>
      </c>
      <c r="H20" s="37">
        <v>6</v>
      </c>
      <c r="I20" s="39">
        <v>45</v>
      </c>
      <c r="J20" s="40">
        <f t="shared" si="0"/>
        <v>4.6500000000000004</v>
      </c>
      <c r="K20" s="36">
        <v>1</v>
      </c>
      <c r="L20" s="41">
        <f t="shared" si="1"/>
        <v>4.75</v>
      </c>
      <c r="M20" s="58">
        <v>18</v>
      </c>
      <c r="N20" s="55">
        <v>10</v>
      </c>
      <c r="O20" s="50">
        <v>7</v>
      </c>
      <c r="P20" s="50">
        <v>8</v>
      </c>
      <c r="Q20" s="50">
        <v>10</v>
      </c>
      <c r="R20" s="50">
        <v>10</v>
      </c>
      <c r="S20" s="54">
        <f t="shared" si="2"/>
        <v>45</v>
      </c>
      <c r="T20"/>
      <c r="U20"/>
      <c r="V20"/>
      <c r="W20"/>
      <c r="X20"/>
      <c r="Y20"/>
      <c r="Z20"/>
    </row>
    <row r="21" spans="1:26" x14ac:dyDescent="0.2">
      <c r="A21" s="3" t="s">
        <v>159</v>
      </c>
      <c r="B21" s="3"/>
      <c r="C21" s="3" t="s">
        <v>259</v>
      </c>
      <c r="D21" s="32">
        <v>0</v>
      </c>
      <c r="E21" s="33">
        <v>2</v>
      </c>
      <c r="F21" s="34">
        <v>6</v>
      </c>
      <c r="G21" s="35">
        <v>0</v>
      </c>
      <c r="H21" s="37">
        <v>7</v>
      </c>
      <c r="I21" s="39">
        <v>17</v>
      </c>
      <c r="J21" s="40">
        <f t="shared" si="0"/>
        <v>2.35</v>
      </c>
      <c r="K21" s="36">
        <v>0</v>
      </c>
      <c r="L21" s="41">
        <f t="shared" si="1"/>
        <v>2.35</v>
      </c>
      <c r="M21" s="58">
        <v>19</v>
      </c>
      <c r="N21" s="55">
        <v>8</v>
      </c>
      <c r="O21" s="50">
        <v>5</v>
      </c>
      <c r="P21" s="50">
        <v>4</v>
      </c>
      <c r="Q21" s="50">
        <v>0</v>
      </c>
      <c r="R21" s="50">
        <v>0</v>
      </c>
      <c r="S21" s="54">
        <f t="shared" si="2"/>
        <v>17</v>
      </c>
      <c r="T21"/>
      <c r="U21"/>
      <c r="V21"/>
      <c r="W21"/>
      <c r="X21"/>
      <c r="Y21"/>
      <c r="Z21"/>
    </row>
    <row r="22" spans="1:26" x14ac:dyDescent="0.2">
      <c r="A22" s="3"/>
      <c r="B22" s="3" t="s">
        <v>161</v>
      </c>
      <c r="C22" s="3" t="s">
        <v>260</v>
      </c>
      <c r="D22" s="32">
        <v>10</v>
      </c>
      <c r="E22" s="33">
        <v>5</v>
      </c>
      <c r="F22" s="34">
        <v>10</v>
      </c>
      <c r="G22" s="35">
        <v>5</v>
      </c>
      <c r="H22" s="37">
        <v>9</v>
      </c>
      <c r="I22" s="39">
        <v>49</v>
      </c>
      <c r="J22" s="40">
        <f t="shared" si="0"/>
        <v>6.35</v>
      </c>
      <c r="K22" s="36">
        <v>13</v>
      </c>
      <c r="L22" s="41">
        <f t="shared" si="1"/>
        <v>7.6499999999999995</v>
      </c>
      <c r="M22" s="58">
        <v>20</v>
      </c>
      <c r="N22" s="55">
        <v>10</v>
      </c>
      <c r="O22" s="50">
        <v>9</v>
      </c>
      <c r="P22" s="50">
        <v>10</v>
      </c>
      <c r="Q22" s="50">
        <v>10</v>
      </c>
      <c r="R22" s="50">
        <v>10</v>
      </c>
      <c r="S22" s="54">
        <f t="shared" si="2"/>
        <v>49</v>
      </c>
      <c r="T22"/>
      <c r="U22"/>
      <c r="V22"/>
      <c r="W22"/>
      <c r="X22"/>
      <c r="Y22"/>
      <c r="Z22"/>
    </row>
    <row r="23" spans="1:26" x14ac:dyDescent="0.2">
      <c r="A23" s="3" t="s">
        <v>163</v>
      </c>
      <c r="B23" s="3"/>
      <c r="C23" s="3" t="s">
        <v>261</v>
      </c>
      <c r="D23" s="32">
        <v>0</v>
      </c>
      <c r="E23" s="33">
        <v>7</v>
      </c>
      <c r="F23" s="34">
        <v>8</v>
      </c>
      <c r="G23" s="35">
        <v>5</v>
      </c>
      <c r="H23" s="37">
        <v>9</v>
      </c>
      <c r="I23" s="39">
        <v>37</v>
      </c>
      <c r="J23" s="40">
        <f t="shared" si="0"/>
        <v>4.75</v>
      </c>
      <c r="K23" s="36">
        <v>6</v>
      </c>
      <c r="L23" s="41">
        <f t="shared" si="1"/>
        <v>5.35</v>
      </c>
      <c r="M23" s="58">
        <v>21</v>
      </c>
      <c r="N23" s="55">
        <v>0</v>
      </c>
      <c r="O23" s="50">
        <v>7</v>
      </c>
      <c r="P23" s="50">
        <v>10</v>
      </c>
      <c r="Q23" s="50">
        <v>10</v>
      </c>
      <c r="R23" s="50">
        <v>10</v>
      </c>
      <c r="S23" s="54">
        <f t="shared" si="2"/>
        <v>37</v>
      </c>
      <c r="T23"/>
      <c r="U23"/>
      <c r="V23"/>
      <c r="W23"/>
      <c r="X23"/>
      <c r="Y23"/>
      <c r="Z23"/>
    </row>
    <row r="24" spans="1:26" x14ac:dyDescent="0.2">
      <c r="A24" s="3"/>
      <c r="B24" s="3" t="s">
        <v>165</v>
      </c>
      <c r="C24" s="3" t="s">
        <v>262</v>
      </c>
      <c r="D24" s="32">
        <v>14</v>
      </c>
      <c r="E24" s="33">
        <v>7</v>
      </c>
      <c r="F24" s="34">
        <v>8</v>
      </c>
      <c r="G24" s="35">
        <v>5</v>
      </c>
      <c r="H24" s="37">
        <v>6</v>
      </c>
      <c r="I24" s="39">
        <v>36</v>
      </c>
      <c r="J24" s="40">
        <f t="shared" si="0"/>
        <v>5.8</v>
      </c>
      <c r="K24" s="36">
        <v>5</v>
      </c>
      <c r="L24" s="41">
        <f t="shared" si="1"/>
        <v>6.3</v>
      </c>
      <c r="M24" s="58">
        <v>22</v>
      </c>
      <c r="N24" s="55">
        <v>4</v>
      </c>
      <c r="O24" s="50">
        <v>7</v>
      </c>
      <c r="P24" s="50">
        <v>8</v>
      </c>
      <c r="Q24" s="50">
        <v>7</v>
      </c>
      <c r="R24" s="50">
        <v>10</v>
      </c>
      <c r="S24" s="54">
        <f t="shared" si="2"/>
        <v>36</v>
      </c>
      <c r="T24"/>
      <c r="U24"/>
      <c r="V24"/>
      <c r="W24"/>
      <c r="X24"/>
      <c r="Y24"/>
      <c r="Z24"/>
    </row>
    <row r="25" spans="1:26" x14ac:dyDescent="0.2">
      <c r="A25" s="3" t="s">
        <v>167</v>
      </c>
      <c r="B25" s="3"/>
      <c r="C25" s="3" t="s">
        <v>263</v>
      </c>
      <c r="D25" s="32">
        <v>5</v>
      </c>
      <c r="E25" s="33">
        <v>0</v>
      </c>
      <c r="F25" s="34">
        <v>5</v>
      </c>
      <c r="G25" s="35">
        <v>0</v>
      </c>
      <c r="H25" s="37">
        <v>5</v>
      </c>
      <c r="I25" s="39">
        <v>23</v>
      </c>
      <c r="J25" s="40">
        <f t="shared" si="0"/>
        <v>2.65</v>
      </c>
      <c r="K25" s="36">
        <v>0</v>
      </c>
      <c r="L25" s="41">
        <f t="shared" si="1"/>
        <v>2.65</v>
      </c>
      <c r="M25" s="58">
        <v>23</v>
      </c>
      <c r="N25" s="55">
        <v>0</v>
      </c>
      <c r="O25" s="50">
        <v>5</v>
      </c>
      <c r="P25" s="50">
        <v>6</v>
      </c>
      <c r="Q25" s="50">
        <v>7</v>
      </c>
      <c r="R25" s="50">
        <v>5</v>
      </c>
      <c r="S25" s="54">
        <f t="shared" si="2"/>
        <v>23</v>
      </c>
      <c r="T25"/>
      <c r="U25"/>
      <c r="V25"/>
      <c r="W25"/>
      <c r="X25"/>
      <c r="Y25"/>
      <c r="Z25"/>
    </row>
    <row r="26" spans="1:26" x14ac:dyDescent="0.2">
      <c r="A26" s="3" t="s">
        <v>169</v>
      </c>
      <c r="B26" s="3"/>
      <c r="C26" s="3" t="s">
        <v>264</v>
      </c>
      <c r="D26" s="32">
        <v>8</v>
      </c>
      <c r="E26" s="33">
        <v>7</v>
      </c>
      <c r="F26" s="34">
        <v>9</v>
      </c>
      <c r="G26" s="35">
        <v>5</v>
      </c>
      <c r="H26" s="37">
        <v>9</v>
      </c>
      <c r="I26" s="39">
        <v>39</v>
      </c>
      <c r="J26" s="40">
        <f t="shared" si="0"/>
        <v>5.75</v>
      </c>
      <c r="K26" s="36">
        <v>0</v>
      </c>
      <c r="L26" s="41">
        <f t="shared" si="1"/>
        <v>5.75</v>
      </c>
      <c r="M26" s="58">
        <v>24</v>
      </c>
      <c r="N26" s="55">
        <v>6</v>
      </c>
      <c r="O26" s="50">
        <v>7</v>
      </c>
      <c r="P26" s="50">
        <v>6</v>
      </c>
      <c r="Q26" s="50">
        <v>10</v>
      </c>
      <c r="R26" s="50">
        <v>10</v>
      </c>
      <c r="S26" s="54">
        <f t="shared" si="2"/>
        <v>39</v>
      </c>
      <c r="T26"/>
      <c r="U26"/>
      <c r="V26"/>
      <c r="W26"/>
      <c r="X26"/>
      <c r="Y26"/>
      <c r="Z26"/>
    </row>
    <row r="27" spans="1:26" x14ac:dyDescent="0.2">
      <c r="A27" s="3"/>
      <c r="B27" s="3" t="s">
        <v>171</v>
      </c>
      <c r="C27" s="3" t="s">
        <v>265</v>
      </c>
      <c r="D27" s="32">
        <v>10</v>
      </c>
      <c r="E27" s="33">
        <v>6</v>
      </c>
      <c r="F27" s="34">
        <v>10</v>
      </c>
      <c r="G27" s="35">
        <v>5</v>
      </c>
      <c r="H27" s="37">
        <v>5</v>
      </c>
      <c r="I27" s="39">
        <v>43</v>
      </c>
      <c r="J27" s="40">
        <f t="shared" si="0"/>
        <v>5.75</v>
      </c>
      <c r="K27" s="36">
        <v>0</v>
      </c>
      <c r="L27" s="41">
        <f t="shared" si="1"/>
        <v>5.75</v>
      </c>
      <c r="M27" s="58">
        <v>25</v>
      </c>
      <c r="N27" s="55">
        <v>10</v>
      </c>
      <c r="O27" s="50">
        <v>7</v>
      </c>
      <c r="P27" s="50">
        <v>6</v>
      </c>
      <c r="Q27" s="50">
        <v>10</v>
      </c>
      <c r="R27" s="50">
        <v>10</v>
      </c>
      <c r="S27" s="54">
        <f t="shared" si="2"/>
        <v>43</v>
      </c>
      <c r="T27"/>
      <c r="U27"/>
      <c r="V27"/>
      <c r="W27"/>
      <c r="X27"/>
      <c r="Y27"/>
      <c r="Z27"/>
    </row>
    <row r="28" spans="1:26" x14ac:dyDescent="0.2">
      <c r="A28" s="3"/>
      <c r="B28" s="3" t="s">
        <v>173</v>
      </c>
      <c r="C28" s="3" t="s">
        <v>266</v>
      </c>
      <c r="D28" s="32">
        <v>14</v>
      </c>
      <c r="E28" s="33">
        <v>5</v>
      </c>
      <c r="F28" s="34">
        <v>8</v>
      </c>
      <c r="G28" s="35">
        <v>5</v>
      </c>
      <c r="H28" s="37">
        <v>8</v>
      </c>
      <c r="I28" s="39">
        <v>41</v>
      </c>
      <c r="J28" s="40">
        <f t="shared" si="0"/>
        <v>6.05</v>
      </c>
      <c r="K28" s="36">
        <v>12</v>
      </c>
      <c r="L28" s="41">
        <f t="shared" si="1"/>
        <v>7.25</v>
      </c>
      <c r="M28" s="58">
        <v>26</v>
      </c>
      <c r="N28" s="55">
        <v>1</v>
      </c>
      <c r="O28" s="50">
        <v>10</v>
      </c>
      <c r="P28" s="50">
        <v>10</v>
      </c>
      <c r="Q28" s="50">
        <v>10</v>
      </c>
      <c r="R28" s="50">
        <v>10</v>
      </c>
      <c r="S28" s="54">
        <f t="shared" si="2"/>
        <v>41</v>
      </c>
      <c r="T28"/>
      <c r="U28"/>
      <c r="V28"/>
      <c r="W28"/>
      <c r="X28"/>
      <c r="Y28"/>
      <c r="Z28"/>
    </row>
    <row r="29" spans="1:26" x14ac:dyDescent="0.2">
      <c r="A29" s="3"/>
      <c r="B29" s="3" t="s">
        <v>175</v>
      </c>
      <c r="C29" s="3" t="s">
        <v>267</v>
      </c>
      <c r="D29" s="32">
        <v>0</v>
      </c>
      <c r="E29" s="33">
        <v>6</v>
      </c>
      <c r="F29" s="34">
        <v>8</v>
      </c>
      <c r="G29" s="35">
        <v>0</v>
      </c>
      <c r="H29" s="37">
        <v>6</v>
      </c>
      <c r="I29" s="39">
        <v>38</v>
      </c>
      <c r="J29" s="40">
        <f t="shared" si="0"/>
        <v>3.9</v>
      </c>
      <c r="K29" s="36">
        <v>0</v>
      </c>
      <c r="L29" s="41">
        <f t="shared" si="1"/>
        <v>3.9</v>
      </c>
      <c r="M29" s="58">
        <v>27</v>
      </c>
      <c r="N29" s="55">
        <v>8</v>
      </c>
      <c r="O29" s="50">
        <v>5</v>
      </c>
      <c r="P29" s="50">
        <v>8</v>
      </c>
      <c r="Q29" s="50">
        <v>7</v>
      </c>
      <c r="R29" s="50">
        <v>10</v>
      </c>
      <c r="S29" s="54">
        <f t="shared" si="2"/>
        <v>38</v>
      </c>
      <c r="T29"/>
      <c r="U29"/>
      <c r="V29"/>
      <c r="W29"/>
      <c r="X29"/>
      <c r="Y29"/>
      <c r="Z29"/>
    </row>
    <row r="30" spans="1:26" x14ac:dyDescent="0.2">
      <c r="A30" s="3"/>
      <c r="B30" s="3" t="s">
        <v>177</v>
      </c>
      <c r="C30" s="3" t="s">
        <v>268</v>
      </c>
      <c r="D30" s="32">
        <v>19</v>
      </c>
      <c r="E30" s="33">
        <v>7</v>
      </c>
      <c r="F30" s="34">
        <v>10</v>
      </c>
      <c r="G30" s="35">
        <v>5</v>
      </c>
      <c r="H30" s="37">
        <v>8</v>
      </c>
      <c r="I30" s="39">
        <v>41</v>
      </c>
      <c r="J30" s="40">
        <f t="shared" si="0"/>
        <v>6.9499999999999993</v>
      </c>
      <c r="K30" s="36">
        <v>6</v>
      </c>
      <c r="L30" s="41">
        <f t="shared" si="1"/>
        <v>7.5499999999999989</v>
      </c>
      <c r="M30" s="58">
        <v>28</v>
      </c>
      <c r="N30" s="55">
        <v>8</v>
      </c>
      <c r="O30" s="50">
        <v>8</v>
      </c>
      <c r="P30" s="50">
        <v>6</v>
      </c>
      <c r="Q30" s="50">
        <v>9</v>
      </c>
      <c r="R30" s="50">
        <v>10</v>
      </c>
      <c r="S30" s="54">
        <f t="shared" si="2"/>
        <v>41</v>
      </c>
      <c r="T30"/>
      <c r="U30"/>
      <c r="V30"/>
      <c r="W30"/>
      <c r="X30"/>
      <c r="Y30"/>
      <c r="Z30"/>
    </row>
    <row r="31" spans="1:26" x14ac:dyDescent="0.2">
      <c r="A31" s="3" t="s">
        <v>179</v>
      </c>
      <c r="B31" s="3"/>
      <c r="C31" s="3" t="s">
        <v>269</v>
      </c>
      <c r="D31" s="32">
        <v>0</v>
      </c>
      <c r="E31" s="33">
        <v>7</v>
      </c>
      <c r="F31" s="34">
        <v>8</v>
      </c>
      <c r="G31" s="35">
        <v>5</v>
      </c>
      <c r="H31" s="37">
        <v>7</v>
      </c>
      <c r="I31" s="39">
        <v>34</v>
      </c>
      <c r="J31" s="40">
        <f t="shared" si="0"/>
        <v>4.4000000000000004</v>
      </c>
      <c r="K31" s="36">
        <v>0</v>
      </c>
      <c r="L31" s="41">
        <f t="shared" si="1"/>
        <v>4.4000000000000004</v>
      </c>
      <c r="M31" s="58">
        <v>29</v>
      </c>
      <c r="N31" s="55">
        <v>6</v>
      </c>
      <c r="O31" s="50">
        <v>7</v>
      </c>
      <c r="P31" s="50">
        <v>4</v>
      </c>
      <c r="Q31" s="50">
        <v>7</v>
      </c>
      <c r="R31" s="50">
        <v>10</v>
      </c>
      <c r="S31" s="54">
        <f t="shared" si="2"/>
        <v>34</v>
      </c>
      <c r="T31"/>
      <c r="U31"/>
      <c r="V31"/>
      <c r="W31"/>
      <c r="X31"/>
      <c r="Y31"/>
      <c r="Z31"/>
    </row>
    <row r="32" spans="1:26" x14ac:dyDescent="0.2">
      <c r="A32" s="3"/>
      <c r="B32" s="3" t="s">
        <v>181</v>
      </c>
      <c r="C32" s="3" t="s">
        <v>270</v>
      </c>
      <c r="D32" s="32">
        <v>0</v>
      </c>
      <c r="E32" s="33">
        <v>5</v>
      </c>
      <c r="F32" s="34">
        <v>10</v>
      </c>
      <c r="G32" s="35">
        <v>5</v>
      </c>
      <c r="H32" s="37">
        <v>6</v>
      </c>
      <c r="I32" s="39">
        <v>39</v>
      </c>
      <c r="J32" s="40">
        <f t="shared" si="0"/>
        <v>4.55</v>
      </c>
      <c r="K32" s="36">
        <v>5</v>
      </c>
      <c r="L32" s="41">
        <f t="shared" si="1"/>
        <v>5.05</v>
      </c>
      <c r="M32" s="58">
        <v>30</v>
      </c>
      <c r="N32" s="55">
        <v>8</v>
      </c>
      <c r="O32" s="50">
        <v>5</v>
      </c>
      <c r="P32" s="50">
        <v>6</v>
      </c>
      <c r="Q32" s="50">
        <v>10</v>
      </c>
      <c r="R32" s="50">
        <v>10</v>
      </c>
      <c r="S32" s="54">
        <f t="shared" si="2"/>
        <v>39</v>
      </c>
      <c r="T32"/>
      <c r="U32"/>
      <c r="V32"/>
      <c r="W32"/>
      <c r="X32"/>
      <c r="Y32"/>
      <c r="Z32"/>
    </row>
    <row r="33" spans="1:26" x14ac:dyDescent="0.2">
      <c r="A33" s="3" t="s">
        <v>183</v>
      </c>
      <c r="B33" s="3"/>
      <c r="C33" s="3" t="s">
        <v>271</v>
      </c>
      <c r="D33" s="32">
        <v>0</v>
      </c>
      <c r="E33" s="33">
        <v>6</v>
      </c>
      <c r="F33" s="34">
        <v>0</v>
      </c>
      <c r="G33" s="35">
        <v>0</v>
      </c>
      <c r="H33" s="37">
        <v>7</v>
      </c>
      <c r="I33" s="39">
        <v>39</v>
      </c>
      <c r="J33" s="40">
        <f t="shared" si="0"/>
        <v>3.25</v>
      </c>
      <c r="K33" s="36">
        <v>5</v>
      </c>
      <c r="L33" s="41">
        <f t="shared" si="1"/>
        <v>3.75</v>
      </c>
      <c r="M33" s="58">
        <v>31</v>
      </c>
      <c r="N33" s="55">
        <v>10</v>
      </c>
      <c r="O33" s="50">
        <v>5</v>
      </c>
      <c r="P33" s="50">
        <v>6</v>
      </c>
      <c r="Q33" s="50">
        <v>8</v>
      </c>
      <c r="R33" s="50">
        <v>10</v>
      </c>
      <c r="S33" s="54">
        <f t="shared" si="2"/>
        <v>39</v>
      </c>
      <c r="T33"/>
      <c r="U33"/>
      <c r="V33"/>
      <c r="W33"/>
      <c r="X33"/>
      <c r="Y33"/>
      <c r="Z33"/>
    </row>
    <row r="34" spans="1:26" x14ac:dyDescent="0.2">
      <c r="A34" s="3"/>
      <c r="B34" s="3" t="s">
        <v>185</v>
      </c>
      <c r="C34" s="3" t="s">
        <v>272</v>
      </c>
      <c r="D34" s="32">
        <v>8</v>
      </c>
      <c r="E34" s="33">
        <v>7</v>
      </c>
      <c r="F34" s="34">
        <v>10</v>
      </c>
      <c r="G34" s="35">
        <v>5</v>
      </c>
      <c r="H34" s="37">
        <v>9</v>
      </c>
      <c r="I34" s="39">
        <v>49</v>
      </c>
      <c r="J34" s="40">
        <f t="shared" si="0"/>
        <v>6.35</v>
      </c>
      <c r="K34" s="36">
        <v>6</v>
      </c>
      <c r="L34" s="41">
        <f t="shared" si="1"/>
        <v>6.9499999999999993</v>
      </c>
      <c r="M34" s="58">
        <v>32</v>
      </c>
      <c r="N34" s="55">
        <v>10</v>
      </c>
      <c r="O34" s="50">
        <v>9</v>
      </c>
      <c r="P34" s="50">
        <v>10</v>
      </c>
      <c r="Q34" s="50">
        <v>10</v>
      </c>
      <c r="R34" s="50">
        <v>10</v>
      </c>
      <c r="S34" s="54">
        <f t="shared" si="2"/>
        <v>49</v>
      </c>
      <c r="T34"/>
      <c r="U34"/>
      <c r="V34"/>
      <c r="W34"/>
      <c r="X34"/>
      <c r="Y34"/>
      <c r="Z34"/>
    </row>
    <row r="35" spans="1:26" x14ac:dyDescent="0.2">
      <c r="A35" s="3" t="s">
        <v>187</v>
      </c>
      <c r="B35" s="3"/>
      <c r="C35" s="46" t="s">
        <v>273</v>
      </c>
      <c r="D35" s="32">
        <v>0</v>
      </c>
      <c r="E35" s="33">
        <v>0</v>
      </c>
      <c r="F35" s="34">
        <v>0</v>
      </c>
      <c r="G35" s="35">
        <v>0</v>
      </c>
      <c r="H35" s="37">
        <v>0</v>
      </c>
      <c r="I35" s="39">
        <v>0</v>
      </c>
      <c r="J35" s="40">
        <f t="shared" si="0"/>
        <v>0</v>
      </c>
      <c r="K35" s="36">
        <v>0</v>
      </c>
      <c r="L35" s="41">
        <f t="shared" si="1"/>
        <v>0</v>
      </c>
      <c r="M35" s="58">
        <v>33</v>
      </c>
      <c r="N35" s="55">
        <v>0</v>
      </c>
      <c r="O35" s="50">
        <v>0</v>
      </c>
      <c r="P35" s="50">
        <v>0</v>
      </c>
      <c r="Q35" s="50">
        <v>0</v>
      </c>
      <c r="R35" s="50">
        <v>0</v>
      </c>
      <c r="S35" s="54">
        <f t="shared" si="2"/>
        <v>0</v>
      </c>
      <c r="T35"/>
      <c r="U35"/>
      <c r="V35"/>
      <c r="W35"/>
      <c r="X35"/>
      <c r="Y35"/>
      <c r="Z35"/>
    </row>
    <row r="36" spans="1:26" x14ac:dyDescent="0.2">
      <c r="A36" s="3" t="s">
        <v>189</v>
      </c>
      <c r="B36" s="3"/>
      <c r="C36" s="3" t="s">
        <v>274</v>
      </c>
      <c r="D36" s="32">
        <v>10</v>
      </c>
      <c r="E36" s="33">
        <v>0</v>
      </c>
      <c r="F36" s="34">
        <v>9</v>
      </c>
      <c r="G36" s="35">
        <v>0</v>
      </c>
      <c r="H36" s="37">
        <v>7</v>
      </c>
      <c r="I36" s="39">
        <v>26</v>
      </c>
      <c r="J36" s="40">
        <f t="shared" si="0"/>
        <v>3.8999999999999995</v>
      </c>
      <c r="K36" s="36">
        <v>0</v>
      </c>
      <c r="L36" s="41">
        <f t="shared" si="1"/>
        <v>3.8999999999999995</v>
      </c>
      <c r="M36" s="58">
        <v>34</v>
      </c>
      <c r="N36" s="55">
        <v>2</v>
      </c>
      <c r="O36" s="50">
        <v>6</v>
      </c>
      <c r="P36" s="50">
        <v>8</v>
      </c>
      <c r="Q36" s="50">
        <v>2</v>
      </c>
      <c r="R36" s="50">
        <v>8</v>
      </c>
      <c r="S36" s="54">
        <f t="shared" si="2"/>
        <v>26</v>
      </c>
      <c r="T36"/>
      <c r="U36"/>
      <c r="V36"/>
      <c r="W36"/>
      <c r="X36"/>
      <c r="Y36"/>
      <c r="Z36"/>
    </row>
    <row r="37" spans="1:26" x14ac:dyDescent="0.2">
      <c r="A37" s="3"/>
      <c r="B37" s="3" t="s">
        <v>191</v>
      </c>
      <c r="C37" s="46" t="s">
        <v>275</v>
      </c>
      <c r="D37" s="32">
        <v>0</v>
      </c>
      <c r="E37" s="33">
        <v>0</v>
      </c>
      <c r="F37" s="34">
        <v>0</v>
      </c>
      <c r="G37" s="35">
        <v>0</v>
      </c>
      <c r="H37" s="37">
        <v>0</v>
      </c>
      <c r="I37" s="39">
        <v>0</v>
      </c>
      <c r="J37" s="40">
        <f t="shared" si="0"/>
        <v>0</v>
      </c>
      <c r="K37" s="36">
        <v>0</v>
      </c>
      <c r="L37" s="41">
        <f t="shared" si="1"/>
        <v>0</v>
      </c>
      <c r="M37" s="58">
        <v>35</v>
      </c>
      <c r="N37" s="55">
        <v>0</v>
      </c>
      <c r="O37" s="50">
        <v>0</v>
      </c>
      <c r="P37" s="50">
        <v>0</v>
      </c>
      <c r="Q37" s="50">
        <v>0</v>
      </c>
      <c r="R37" s="50">
        <v>0</v>
      </c>
      <c r="S37" s="54">
        <f t="shared" si="2"/>
        <v>0</v>
      </c>
      <c r="T37"/>
      <c r="U37"/>
      <c r="V37"/>
      <c r="W37"/>
      <c r="X37"/>
      <c r="Y37"/>
      <c r="Z37"/>
    </row>
    <row r="38" spans="1:26" x14ac:dyDescent="0.2">
      <c r="A38" s="3" t="s">
        <v>193</v>
      </c>
      <c r="B38" s="3"/>
      <c r="C38" s="3" t="s">
        <v>276</v>
      </c>
      <c r="D38" s="32">
        <v>8</v>
      </c>
      <c r="E38" s="33">
        <v>6</v>
      </c>
      <c r="F38" s="34">
        <v>10</v>
      </c>
      <c r="G38" s="35">
        <v>0</v>
      </c>
      <c r="H38" s="37">
        <v>9</v>
      </c>
      <c r="I38" s="39">
        <v>47</v>
      </c>
      <c r="J38" s="40">
        <f t="shared" si="0"/>
        <v>5.65</v>
      </c>
      <c r="K38" s="36">
        <v>5</v>
      </c>
      <c r="L38" s="41">
        <f t="shared" si="1"/>
        <v>6.15</v>
      </c>
      <c r="M38" s="58">
        <v>36</v>
      </c>
      <c r="N38" s="55">
        <v>10</v>
      </c>
      <c r="O38" s="50">
        <v>9</v>
      </c>
      <c r="P38" s="50">
        <v>10</v>
      </c>
      <c r="Q38" s="50">
        <v>8</v>
      </c>
      <c r="R38" s="50">
        <v>10</v>
      </c>
      <c r="S38" s="54">
        <f t="shared" si="2"/>
        <v>47</v>
      </c>
      <c r="T38"/>
      <c r="U38"/>
      <c r="V38"/>
      <c r="W38"/>
      <c r="X38"/>
      <c r="Y38"/>
      <c r="Z38"/>
    </row>
    <row r="39" spans="1:26" x14ac:dyDescent="0.2">
      <c r="A39" s="3"/>
      <c r="B39" s="3" t="s">
        <v>195</v>
      </c>
      <c r="C39" s="3" t="s">
        <v>277</v>
      </c>
      <c r="D39" s="32">
        <v>8</v>
      </c>
      <c r="E39" s="33">
        <v>5</v>
      </c>
      <c r="F39" s="34">
        <v>0</v>
      </c>
      <c r="G39" s="35">
        <v>0</v>
      </c>
      <c r="H39" s="37">
        <v>7</v>
      </c>
      <c r="I39" s="39">
        <v>31</v>
      </c>
      <c r="J39" s="40">
        <f t="shared" si="0"/>
        <v>3.55</v>
      </c>
      <c r="K39" s="36">
        <v>5</v>
      </c>
      <c r="L39" s="41">
        <f t="shared" si="1"/>
        <v>4.05</v>
      </c>
      <c r="M39" s="58">
        <v>37</v>
      </c>
      <c r="N39" s="55">
        <v>2</v>
      </c>
      <c r="O39" s="50">
        <v>7</v>
      </c>
      <c r="P39" s="50">
        <v>5</v>
      </c>
      <c r="Q39" s="50">
        <v>7</v>
      </c>
      <c r="R39" s="50">
        <v>10</v>
      </c>
      <c r="S39" s="54">
        <f t="shared" si="2"/>
        <v>31</v>
      </c>
      <c r="T39"/>
      <c r="U39"/>
      <c r="V39"/>
      <c r="W39"/>
      <c r="X39"/>
      <c r="Y39"/>
      <c r="Z39"/>
    </row>
    <row r="40" spans="1:26" x14ac:dyDescent="0.2">
      <c r="A40" s="3"/>
      <c r="B40" s="3" t="s">
        <v>197</v>
      </c>
      <c r="C40" s="3" t="s">
        <v>278</v>
      </c>
      <c r="D40" s="32">
        <v>10</v>
      </c>
      <c r="E40" s="33">
        <v>7</v>
      </c>
      <c r="F40" s="34">
        <v>10</v>
      </c>
      <c r="G40" s="35">
        <v>0</v>
      </c>
      <c r="H40" s="37">
        <v>7</v>
      </c>
      <c r="I40" s="39">
        <v>43</v>
      </c>
      <c r="J40" s="40">
        <f t="shared" si="0"/>
        <v>5.5500000000000007</v>
      </c>
      <c r="K40" s="36">
        <v>0</v>
      </c>
      <c r="L40" s="41">
        <f t="shared" si="1"/>
        <v>5.5500000000000007</v>
      </c>
      <c r="M40" s="58">
        <v>38</v>
      </c>
      <c r="N40" s="55">
        <v>8</v>
      </c>
      <c r="O40" s="50">
        <v>7</v>
      </c>
      <c r="P40" s="50">
        <v>8</v>
      </c>
      <c r="Q40" s="50">
        <v>10</v>
      </c>
      <c r="R40" s="50">
        <v>10</v>
      </c>
      <c r="S40" s="54">
        <f t="shared" si="2"/>
        <v>43</v>
      </c>
      <c r="T40"/>
      <c r="U40"/>
      <c r="V40"/>
      <c r="W40"/>
      <c r="X40"/>
      <c r="Y40"/>
      <c r="Z40"/>
    </row>
    <row r="41" spans="1:26" x14ac:dyDescent="0.2">
      <c r="A41" s="3" t="s">
        <v>199</v>
      </c>
      <c r="B41" s="3"/>
      <c r="C41" s="3" t="s">
        <v>279</v>
      </c>
      <c r="D41" s="32">
        <v>14</v>
      </c>
      <c r="E41" s="33">
        <v>0</v>
      </c>
      <c r="F41" s="34">
        <v>0</v>
      </c>
      <c r="G41" s="35">
        <v>0</v>
      </c>
      <c r="H41" s="37">
        <v>5</v>
      </c>
      <c r="I41" s="39">
        <v>20</v>
      </c>
      <c r="J41" s="40">
        <f t="shared" si="0"/>
        <v>2.9</v>
      </c>
      <c r="K41" s="36">
        <v>3</v>
      </c>
      <c r="L41" s="41">
        <f t="shared" si="1"/>
        <v>3.1999999999999997</v>
      </c>
      <c r="M41" s="58">
        <v>39</v>
      </c>
      <c r="N41" s="55">
        <v>2</v>
      </c>
      <c r="O41" s="50">
        <v>7</v>
      </c>
      <c r="P41" s="50">
        <v>3</v>
      </c>
      <c r="Q41" s="50">
        <v>0</v>
      </c>
      <c r="R41" s="50">
        <v>8</v>
      </c>
      <c r="S41" s="54">
        <f t="shared" si="2"/>
        <v>20</v>
      </c>
      <c r="T41"/>
      <c r="U41"/>
      <c r="V41"/>
      <c r="W41"/>
      <c r="X41"/>
      <c r="Y41"/>
      <c r="Z41"/>
    </row>
    <row r="42" spans="1:26" x14ac:dyDescent="0.2">
      <c r="A42" s="3" t="s">
        <v>201</v>
      </c>
      <c r="B42" s="3"/>
      <c r="C42" s="3" t="s">
        <v>280</v>
      </c>
      <c r="D42" s="32">
        <v>0</v>
      </c>
      <c r="E42" s="33">
        <v>6</v>
      </c>
      <c r="F42" s="34">
        <v>7</v>
      </c>
      <c r="G42" s="35">
        <v>0</v>
      </c>
      <c r="H42" s="37">
        <v>5</v>
      </c>
      <c r="I42" s="39">
        <v>31</v>
      </c>
      <c r="J42" s="40">
        <f t="shared" si="0"/>
        <v>3.3499999999999996</v>
      </c>
      <c r="K42" s="36">
        <v>0</v>
      </c>
      <c r="L42" s="41">
        <f t="shared" si="1"/>
        <v>3.3499999999999996</v>
      </c>
      <c r="M42" s="58">
        <v>40</v>
      </c>
      <c r="N42" s="55">
        <v>8</v>
      </c>
      <c r="O42" s="50">
        <v>5</v>
      </c>
      <c r="P42" s="50">
        <v>5</v>
      </c>
      <c r="Q42" s="50">
        <v>5</v>
      </c>
      <c r="R42" s="50">
        <v>8</v>
      </c>
      <c r="S42" s="54">
        <f t="shared" si="2"/>
        <v>31</v>
      </c>
      <c r="T42"/>
      <c r="U42"/>
      <c r="V42"/>
      <c r="W42"/>
      <c r="X42"/>
      <c r="Y42"/>
      <c r="Z42"/>
    </row>
    <row r="43" spans="1:26" x14ac:dyDescent="0.2">
      <c r="A43" s="3" t="s">
        <v>203</v>
      </c>
      <c r="B43" s="3"/>
      <c r="C43" s="3" t="s">
        <v>281</v>
      </c>
      <c r="D43" s="32">
        <v>8</v>
      </c>
      <c r="E43" s="33">
        <v>4</v>
      </c>
      <c r="F43" s="34">
        <v>0</v>
      </c>
      <c r="G43" s="35">
        <v>0</v>
      </c>
      <c r="H43" s="37">
        <v>7</v>
      </c>
      <c r="I43" s="39">
        <v>35</v>
      </c>
      <c r="J43" s="40">
        <f t="shared" si="0"/>
        <v>3.6500000000000004</v>
      </c>
      <c r="K43" s="36">
        <v>5</v>
      </c>
      <c r="L43" s="41">
        <f t="shared" si="1"/>
        <v>4.1500000000000004</v>
      </c>
      <c r="M43" s="58">
        <v>41</v>
      </c>
      <c r="N43" s="55">
        <v>8</v>
      </c>
      <c r="O43" s="50">
        <v>7</v>
      </c>
      <c r="P43" s="50">
        <v>6</v>
      </c>
      <c r="Q43" s="50">
        <v>6</v>
      </c>
      <c r="R43" s="50">
        <v>8</v>
      </c>
      <c r="S43" s="54">
        <f t="shared" si="2"/>
        <v>35</v>
      </c>
      <c r="T43"/>
      <c r="U43"/>
      <c r="V43"/>
      <c r="W43"/>
      <c r="X43"/>
      <c r="Y43"/>
      <c r="Z43"/>
    </row>
    <row r="44" spans="1:26" x14ac:dyDescent="0.2">
      <c r="A44" s="3"/>
      <c r="B44" s="3" t="s">
        <v>205</v>
      </c>
      <c r="C44" s="3" t="s">
        <v>282</v>
      </c>
      <c r="D44" s="32">
        <v>8</v>
      </c>
      <c r="E44" s="33">
        <v>7</v>
      </c>
      <c r="F44" s="34">
        <v>0</v>
      </c>
      <c r="G44" s="35">
        <v>0</v>
      </c>
      <c r="H44" s="37">
        <v>6</v>
      </c>
      <c r="I44" s="39">
        <v>45</v>
      </c>
      <c r="J44" s="40">
        <f t="shared" si="0"/>
        <v>4.3499999999999996</v>
      </c>
      <c r="K44" s="36">
        <v>0</v>
      </c>
      <c r="L44" s="41">
        <f t="shared" si="1"/>
        <v>4.3499999999999996</v>
      </c>
      <c r="M44" s="58">
        <v>42</v>
      </c>
      <c r="N44" s="55">
        <v>10</v>
      </c>
      <c r="O44" s="50">
        <v>8</v>
      </c>
      <c r="P44" s="50">
        <v>7</v>
      </c>
      <c r="Q44" s="50">
        <v>10</v>
      </c>
      <c r="R44" s="50">
        <v>10</v>
      </c>
      <c r="S44" s="54">
        <f t="shared" si="2"/>
        <v>45</v>
      </c>
      <c r="T44"/>
      <c r="U44"/>
      <c r="V44"/>
      <c r="W44"/>
      <c r="X44"/>
      <c r="Y44"/>
      <c r="Z44"/>
    </row>
    <row r="45" spans="1:26" x14ac:dyDescent="0.2">
      <c r="A45" s="3"/>
      <c r="B45" s="3" t="s">
        <v>207</v>
      </c>
      <c r="C45" s="3" t="s">
        <v>283</v>
      </c>
      <c r="D45" s="32">
        <v>10</v>
      </c>
      <c r="E45" s="33">
        <v>6</v>
      </c>
      <c r="F45" s="34">
        <v>5</v>
      </c>
      <c r="G45" s="35">
        <v>5</v>
      </c>
      <c r="H45" s="37">
        <v>8</v>
      </c>
      <c r="I45" s="39">
        <v>44</v>
      </c>
      <c r="J45" s="40">
        <f t="shared" si="0"/>
        <v>5.6000000000000005</v>
      </c>
      <c r="K45" s="36">
        <v>0</v>
      </c>
      <c r="L45" s="41">
        <f t="shared" si="1"/>
        <v>5.6000000000000005</v>
      </c>
      <c r="M45" s="58">
        <v>43</v>
      </c>
      <c r="N45" s="55">
        <v>8</v>
      </c>
      <c r="O45" s="50">
        <v>8</v>
      </c>
      <c r="P45" s="50">
        <v>10</v>
      </c>
      <c r="Q45" s="50">
        <v>8</v>
      </c>
      <c r="R45" s="50">
        <v>10</v>
      </c>
      <c r="S45" s="54">
        <f t="shared" si="2"/>
        <v>44</v>
      </c>
      <c r="T45"/>
      <c r="U45"/>
      <c r="V45"/>
      <c r="W45"/>
      <c r="X45"/>
      <c r="Y45"/>
      <c r="Z45"/>
    </row>
    <row r="46" spans="1:26" x14ac:dyDescent="0.2">
      <c r="A46" s="3"/>
      <c r="B46" s="3" t="s">
        <v>209</v>
      </c>
      <c r="C46" s="3" t="s">
        <v>284</v>
      </c>
      <c r="D46" s="32">
        <v>10</v>
      </c>
      <c r="E46" s="33">
        <v>7</v>
      </c>
      <c r="F46" s="34">
        <v>10</v>
      </c>
      <c r="G46" s="35">
        <v>5</v>
      </c>
      <c r="H46" s="37">
        <v>8</v>
      </c>
      <c r="I46" s="39">
        <v>47</v>
      </c>
      <c r="J46" s="40">
        <f t="shared" si="0"/>
        <v>6.35</v>
      </c>
      <c r="K46" s="36">
        <v>5</v>
      </c>
      <c r="L46" s="41">
        <f t="shared" si="1"/>
        <v>6.85</v>
      </c>
      <c r="M46" s="58">
        <v>44</v>
      </c>
      <c r="N46" s="55">
        <v>10</v>
      </c>
      <c r="O46" s="50">
        <v>9</v>
      </c>
      <c r="P46" s="50">
        <v>10</v>
      </c>
      <c r="Q46" s="50">
        <v>10</v>
      </c>
      <c r="R46" s="50">
        <v>8</v>
      </c>
      <c r="S46" s="54">
        <f t="shared" si="2"/>
        <v>47</v>
      </c>
      <c r="T46"/>
      <c r="U46"/>
      <c r="V46"/>
      <c r="W46"/>
      <c r="X46"/>
      <c r="Y46"/>
      <c r="Z46"/>
    </row>
    <row r="47" spans="1:26" x14ac:dyDescent="0.2">
      <c r="A47" s="3"/>
      <c r="B47" s="3" t="s">
        <v>211</v>
      </c>
      <c r="C47" s="3" t="s">
        <v>285</v>
      </c>
      <c r="D47" s="32">
        <v>10</v>
      </c>
      <c r="E47" s="33">
        <v>7</v>
      </c>
      <c r="F47" s="34">
        <v>10</v>
      </c>
      <c r="G47" s="35">
        <v>5</v>
      </c>
      <c r="H47" s="37">
        <v>8</v>
      </c>
      <c r="I47" s="39">
        <v>49</v>
      </c>
      <c r="J47" s="40">
        <f t="shared" si="0"/>
        <v>6.45</v>
      </c>
      <c r="K47" s="36">
        <v>5</v>
      </c>
      <c r="L47" s="41">
        <f t="shared" si="1"/>
        <v>6.95</v>
      </c>
      <c r="M47" s="58">
        <v>45</v>
      </c>
      <c r="N47" s="55">
        <v>10</v>
      </c>
      <c r="O47" s="50">
        <v>9</v>
      </c>
      <c r="P47" s="50">
        <v>10</v>
      </c>
      <c r="Q47" s="50">
        <v>10</v>
      </c>
      <c r="R47" s="50">
        <v>10</v>
      </c>
      <c r="S47" s="54">
        <f t="shared" si="2"/>
        <v>49</v>
      </c>
      <c r="T47"/>
      <c r="U47"/>
      <c r="V47"/>
      <c r="W47"/>
      <c r="X47"/>
      <c r="Y47"/>
      <c r="Z47"/>
    </row>
    <row r="48" spans="1:26" x14ac:dyDescent="0.2">
      <c r="A48" s="3" t="s">
        <v>213</v>
      </c>
      <c r="B48" s="3"/>
      <c r="C48" s="3" t="s">
        <v>286</v>
      </c>
      <c r="D48" s="32">
        <v>0</v>
      </c>
      <c r="E48" s="33">
        <v>0</v>
      </c>
      <c r="F48" s="34">
        <v>0</v>
      </c>
      <c r="G48" s="35">
        <v>0</v>
      </c>
      <c r="H48" s="37">
        <v>0</v>
      </c>
      <c r="I48" s="39">
        <v>28</v>
      </c>
      <c r="J48" s="40">
        <f t="shared" si="0"/>
        <v>1.4</v>
      </c>
      <c r="K48" s="36">
        <v>5</v>
      </c>
      <c r="L48" s="41">
        <f t="shared" si="1"/>
        <v>1.9</v>
      </c>
      <c r="M48" s="58">
        <v>46</v>
      </c>
      <c r="N48" s="55">
        <v>8</v>
      </c>
      <c r="O48" s="50">
        <v>6</v>
      </c>
      <c r="P48" s="50">
        <v>0</v>
      </c>
      <c r="Q48" s="50">
        <v>6</v>
      </c>
      <c r="R48" s="50">
        <v>8</v>
      </c>
      <c r="S48" s="54">
        <f t="shared" si="2"/>
        <v>28</v>
      </c>
      <c r="T48"/>
      <c r="U48"/>
      <c r="V48"/>
      <c r="W48"/>
      <c r="X48"/>
      <c r="Y48"/>
      <c r="Z48"/>
    </row>
    <row r="49" spans="1:26" x14ac:dyDescent="0.2">
      <c r="A49" s="3"/>
      <c r="B49" s="3" t="s">
        <v>215</v>
      </c>
      <c r="C49" s="3" t="s">
        <v>287</v>
      </c>
      <c r="D49" s="32">
        <v>0</v>
      </c>
      <c r="E49" s="33">
        <v>0</v>
      </c>
      <c r="F49" s="34">
        <v>0</v>
      </c>
      <c r="G49" s="35">
        <v>0</v>
      </c>
      <c r="H49" s="37">
        <v>6</v>
      </c>
      <c r="I49" s="39">
        <v>20</v>
      </c>
      <c r="J49" s="40">
        <f t="shared" si="0"/>
        <v>1.6</v>
      </c>
      <c r="K49" s="36">
        <v>0</v>
      </c>
      <c r="L49" s="41">
        <f t="shared" si="1"/>
        <v>1.6</v>
      </c>
      <c r="M49" s="58">
        <v>47</v>
      </c>
      <c r="N49" s="55">
        <v>8</v>
      </c>
      <c r="O49" s="50">
        <v>5</v>
      </c>
      <c r="P49" s="50">
        <v>0</v>
      </c>
      <c r="Q49" s="50">
        <v>2</v>
      </c>
      <c r="R49" s="50">
        <v>5</v>
      </c>
      <c r="S49" s="54">
        <f t="shared" si="2"/>
        <v>20</v>
      </c>
      <c r="T49"/>
      <c r="U49"/>
      <c r="V49"/>
      <c r="W49"/>
      <c r="X49"/>
      <c r="Y49"/>
      <c r="Z49"/>
    </row>
    <row r="50" spans="1:26" x14ac:dyDescent="0.2">
      <c r="A50" s="3"/>
      <c r="B50" s="3" t="s">
        <v>217</v>
      </c>
      <c r="C50" s="3" t="s">
        <v>288</v>
      </c>
      <c r="D50" s="32">
        <v>8</v>
      </c>
      <c r="E50" s="33">
        <v>5</v>
      </c>
      <c r="F50" s="34">
        <v>8</v>
      </c>
      <c r="G50" s="35">
        <v>5</v>
      </c>
      <c r="H50" s="37">
        <v>9</v>
      </c>
      <c r="I50" s="39">
        <v>38</v>
      </c>
      <c r="J50" s="40">
        <f t="shared" si="0"/>
        <v>5.4</v>
      </c>
      <c r="K50" s="36">
        <v>0</v>
      </c>
      <c r="L50" s="41">
        <f t="shared" si="1"/>
        <v>5.4</v>
      </c>
      <c r="M50" s="58">
        <v>48</v>
      </c>
      <c r="N50" s="55">
        <v>8</v>
      </c>
      <c r="O50" s="50">
        <v>7</v>
      </c>
      <c r="P50" s="50">
        <v>4</v>
      </c>
      <c r="Q50" s="50">
        <v>9</v>
      </c>
      <c r="R50" s="50">
        <v>10</v>
      </c>
      <c r="S50" s="54">
        <f t="shared" si="2"/>
        <v>38</v>
      </c>
      <c r="T50"/>
      <c r="U50"/>
      <c r="V50"/>
      <c r="W50"/>
      <c r="X50"/>
      <c r="Y50"/>
      <c r="Z50"/>
    </row>
    <row r="51" spans="1:26" x14ac:dyDescent="0.2">
      <c r="A51" s="3"/>
      <c r="B51" s="3" t="s">
        <v>219</v>
      </c>
      <c r="C51" s="3" t="s">
        <v>289</v>
      </c>
      <c r="D51" s="32">
        <v>8</v>
      </c>
      <c r="E51" s="33">
        <v>5</v>
      </c>
      <c r="F51" s="34">
        <v>9</v>
      </c>
      <c r="G51" s="35">
        <v>5</v>
      </c>
      <c r="H51" s="37">
        <v>8</v>
      </c>
      <c r="I51" s="39">
        <v>42</v>
      </c>
      <c r="J51" s="40">
        <f t="shared" si="0"/>
        <v>5.6</v>
      </c>
      <c r="K51" s="36">
        <v>0</v>
      </c>
      <c r="L51" s="41">
        <f t="shared" si="1"/>
        <v>5.6</v>
      </c>
      <c r="M51" s="58">
        <v>49</v>
      </c>
      <c r="N51" s="55">
        <v>8</v>
      </c>
      <c r="O51" s="50">
        <v>8</v>
      </c>
      <c r="P51" s="50">
        <v>9</v>
      </c>
      <c r="Q51" s="50">
        <v>7</v>
      </c>
      <c r="R51" s="50">
        <v>10</v>
      </c>
      <c r="S51" s="54">
        <f t="shared" si="2"/>
        <v>42</v>
      </c>
      <c r="T51"/>
      <c r="U51"/>
      <c r="V51"/>
      <c r="W51"/>
      <c r="X51"/>
      <c r="Y51"/>
      <c r="Z51"/>
    </row>
    <row r="52" spans="1:26" x14ac:dyDescent="0.2">
      <c r="A52" s="3" t="s">
        <v>221</v>
      </c>
      <c r="B52" s="3"/>
      <c r="C52" s="3" t="s">
        <v>290</v>
      </c>
      <c r="D52" s="32">
        <v>10</v>
      </c>
      <c r="E52" s="33">
        <v>6</v>
      </c>
      <c r="F52" s="34">
        <v>14</v>
      </c>
      <c r="G52" s="35">
        <v>5</v>
      </c>
      <c r="H52" s="37">
        <v>9</v>
      </c>
      <c r="I52" s="39">
        <v>49</v>
      </c>
      <c r="J52" s="40">
        <f t="shared" si="0"/>
        <v>6.8500000000000005</v>
      </c>
      <c r="K52" s="36">
        <v>10</v>
      </c>
      <c r="L52" s="41">
        <f t="shared" si="1"/>
        <v>7.8500000000000005</v>
      </c>
      <c r="M52" s="58">
        <v>50</v>
      </c>
      <c r="N52" s="55">
        <v>10</v>
      </c>
      <c r="O52" s="50">
        <v>9</v>
      </c>
      <c r="P52" s="50">
        <v>10</v>
      </c>
      <c r="Q52" s="50">
        <v>10</v>
      </c>
      <c r="R52" s="50">
        <v>10</v>
      </c>
      <c r="S52" s="54">
        <f t="shared" si="2"/>
        <v>49</v>
      </c>
      <c r="T52"/>
      <c r="U52"/>
      <c r="V52"/>
      <c r="W52"/>
      <c r="X52"/>
      <c r="Y52"/>
      <c r="Z52"/>
    </row>
    <row r="53" spans="1:26" x14ac:dyDescent="0.2">
      <c r="A53" s="3" t="s">
        <v>223</v>
      </c>
      <c r="B53" s="3"/>
      <c r="C53" s="3" t="s">
        <v>291</v>
      </c>
      <c r="D53" s="32">
        <v>8</v>
      </c>
      <c r="E53" s="33">
        <v>5</v>
      </c>
      <c r="F53" s="34">
        <v>8</v>
      </c>
      <c r="G53" s="35">
        <v>0</v>
      </c>
      <c r="H53" s="37">
        <v>7</v>
      </c>
      <c r="I53" s="39">
        <v>36</v>
      </c>
      <c r="J53" s="40">
        <f t="shared" si="0"/>
        <v>4.5999999999999996</v>
      </c>
      <c r="K53" s="36">
        <v>0</v>
      </c>
      <c r="L53" s="41">
        <f t="shared" si="1"/>
        <v>4.5999999999999996</v>
      </c>
      <c r="M53" s="58">
        <v>51</v>
      </c>
      <c r="N53" s="55">
        <v>10</v>
      </c>
      <c r="O53" s="50">
        <v>6</v>
      </c>
      <c r="P53" s="50">
        <v>0</v>
      </c>
      <c r="Q53" s="50">
        <v>10</v>
      </c>
      <c r="R53" s="50">
        <v>10</v>
      </c>
      <c r="S53" s="54">
        <f t="shared" si="2"/>
        <v>36</v>
      </c>
      <c r="T53"/>
      <c r="U53"/>
      <c r="V53"/>
      <c r="W53"/>
      <c r="X53"/>
      <c r="Y53"/>
      <c r="Z53"/>
    </row>
    <row r="54" spans="1:26" x14ac:dyDescent="0.2">
      <c r="A54" s="3"/>
      <c r="B54" s="3" t="s">
        <v>225</v>
      </c>
      <c r="C54" s="3" t="s">
        <v>292</v>
      </c>
      <c r="D54" s="32">
        <v>10</v>
      </c>
      <c r="E54" s="33">
        <v>7</v>
      </c>
      <c r="F54" s="34">
        <v>8</v>
      </c>
      <c r="G54" s="35">
        <v>5</v>
      </c>
      <c r="H54" s="37">
        <v>7</v>
      </c>
      <c r="I54" s="39">
        <v>48</v>
      </c>
      <c r="J54" s="40">
        <f t="shared" si="0"/>
        <v>6.1</v>
      </c>
      <c r="K54" s="36">
        <v>0</v>
      </c>
      <c r="L54" s="41">
        <f t="shared" si="1"/>
        <v>6.1</v>
      </c>
      <c r="M54" s="58">
        <v>52</v>
      </c>
      <c r="N54" s="55">
        <v>10</v>
      </c>
      <c r="O54" s="50">
        <v>8</v>
      </c>
      <c r="P54" s="50">
        <v>10</v>
      </c>
      <c r="Q54" s="50">
        <v>10</v>
      </c>
      <c r="R54" s="50">
        <v>10</v>
      </c>
      <c r="S54" s="54">
        <f t="shared" si="2"/>
        <v>48</v>
      </c>
      <c r="T54"/>
      <c r="U54"/>
      <c r="V54"/>
      <c r="W54"/>
      <c r="X54"/>
      <c r="Y54"/>
      <c r="Z54"/>
    </row>
    <row r="55" spans="1:26" x14ac:dyDescent="0.2">
      <c r="A55" s="3" t="s">
        <v>227</v>
      </c>
      <c r="B55" s="3"/>
      <c r="C55" s="3" t="s">
        <v>293</v>
      </c>
      <c r="D55" s="32">
        <v>8</v>
      </c>
      <c r="E55" s="33">
        <v>0</v>
      </c>
      <c r="F55" s="34">
        <v>8</v>
      </c>
      <c r="G55" s="35">
        <v>0</v>
      </c>
      <c r="H55" s="37">
        <v>6</v>
      </c>
      <c r="I55" s="39">
        <v>41</v>
      </c>
      <c r="J55" s="40">
        <f t="shared" si="0"/>
        <v>4.25</v>
      </c>
      <c r="K55" s="36">
        <v>0</v>
      </c>
      <c r="L55" s="41">
        <f t="shared" si="1"/>
        <v>4.25</v>
      </c>
      <c r="M55" s="58">
        <v>53</v>
      </c>
      <c r="N55" s="55">
        <v>10</v>
      </c>
      <c r="O55" s="50">
        <v>8</v>
      </c>
      <c r="P55" s="50">
        <v>10</v>
      </c>
      <c r="Q55" s="50">
        <v>8</v>
      </c>
      <c r="R55" s="50">
        <v>5</v>
      </c>
      <c r="S55" s="54">
        <f t="shared" si="2"/>
        <v>41</v>
      </c>
      <c r="T55"/>
      <c r="U55"/>
      <c r="V55"/>
      <c r="W55"/>
      <c r="X55"/>
      <c r="Y55"/>
      <c r="Z55"/>
    </row>
    <row r="56" spans="1:26" x14ac:dyDescent="0.2">
      <c r="A56" s="3" t="s">
        <v>229</v>
      </c>
      <c r="B56" s="3"/>
      <c r="C56" s="3" t="s">
        <v>294</v>
      </c>
      <c r="D56" s="32">
        <v>8</v>
      </c>
      <c r="E56" s="33">
        <v>5</v>
      </c>
      <c r="F56" s="34">
        <v>8</v>
      </c>
      <c r="G56" s="35">
        <v>5</v>
      </c>
      <c r="H56" s="37">
        <v>4</v>
      </c>
      <c r="I56" s="39">
        <v>38</v>
      </c>
      <c r="J56" s="40">
        <f t="shared" si="0"/>
        <v>4.9000000000000004</v>
      </c>
      <c r="K56" s="36">
        <v>0</v>
      </c>
      <c r="L56" s="41">
        <f t="shared" si="1"/>
        <v>4.9000000000000004</v>
      </c>
      <c r="M56" s="58">
        <v>54</v>
      </c>
      <c r="N56" s="55">
        <v>10</v>
      </c>
      <c r="O56" s="50">
        <v>7</v>
      </c>
      <c r="P56" s="50">
        <v>2</v>
      </c>
      <c r="Q56" s="50">
        <v>9</v>
      </c>
      <c r="R56" s="50">
        <v>10</v>
      </c>
      <c r="S56" s="54">
        <f t="shared" si="2"/>
        <v>38</v>
      </c>
      <c r="T56"/>
      <c r="U56"/>
      <c r="V56"/>
      <c r="W56"/>
      <c r="X56"/>
      <c r="Y56"/>
      <c r="Z56"/>
    </row>
    <row r="57" spans="1:26" x14ac:dyDescent="0.2">
      <c r="A57" s="3" t="s">
        <v>231</v>
      </c>
      <c r="B57" s="3"/>
      <c r="C57" s="3" t="s">
        <v>295</v>
      </c>
      <c r="D57" s="32">
        <v>14</v>
      </c>
      <c r="E57" s="33">
        <v>0</v>
      </c>
      <c r="F57" s="34">
        <v>5</v>
      </c>
      <c r="G57" s="35">
        <v>5</v>
      </c>
      <c r="H57" s="37">
        <v>7</v>
      </c>
      <c r="I57" s="39">
        <v>42</v>
      </c>
      <c r="J57" s="40">
        <f t="shared" si="0"/>
        <v>5.1999999999999993</v>
      </c>
      <c r="K57" s="36">
        <v>0</v>
      </c>
      <c r="L57" s="41">
        <f t="shared" si="1"/>
        <v>5.1999999999999993</v>
      </c>
      <c r="M57" s="58">
        <v>55</v>
      </c>
      <c r="N57" s="55">
        <v>10</v>
      </c>
      <c r="O57" s="50">
        <v>7</v>
      </c>
      <c r="P57" s="50">
        <v>6</v>
      </c>
      <c r="Q57" s="50">
        <v>9</v>
      </c>
      <c r="R57" s="50">
        <v>10</v>
      </c>
      <c r="S57" s="54">
        <f t="shared" si="2"/>
        <v>42</v>
      </c>
      <c r="T57"/>
      <c r="U57"/>
      <c r="V57"/>
      <c r="W57"/>
      <c r="X57"/>
      <c r="Y57"/>
      <c r="Z57"/>
    </row>
    <row r="58" spans="1:26" x14ac:dyDescent="0.2">
      <c r="A58" s="3"/>
      <c r="B58" s="3" t="s">
        <v>233</v>
      </c>
      <c r="C58" s="3" t="s">
        <v>296</v>
      </c>
      <c r="D58" s="32">
        <v>8</v>
      </c>
      <c r="E58" s="33">
        <v>7</v>
      </c>
      <c r="F58" s="34">
        <v>8</v>
      </c>
      <c r="G58" s="35">
        <v>5</v>
      </c>
      <c r="H58" s="37">
        <v>10</v>
      </c>
      <c r="I58" s="39">
        <v>42</v>
      </c>
      <c r="J58" s="40">
        <f t="shared" si="0"/>
        <v>5.9</v>
      </c>
      <c r="K58" s="36">
        <v>0</v>
      </c>
      <c r="L58" s="41">
        <f t="shared" si="1"/>
        <v>5.9</v>
      </c>
      <c r="M58" s="58">
        <v>56</v>
      </c>
      <c r="N58" s="55">
        <v>9</v>
      </c>
      <c r="O58" s="50">
        <v>7</v>
      </c>
      <c r="P58" s="50">
        <v>10</v>
      </c>
      <c r="Q58" s="50">
        <v>8</v>
      </c>
      <c r="R58" s="50">
        <v>8</v>
      </c>
      <c r="S58" s="54">
        <f t="shared" si="2"/>
        <v>42</v>
      </c>
      <c r="T58"/>
      <c r="U58"/>
      <c r="V58"/>
      <c r="W58"/>
      <c r="X58"/>
      <c r="Y58"/>
      <c r="Z58"/>
    </row>
    <row r="59" spans="1:26" x14ac:dyDescent="0.2">
      <c r="A59" s="3"/>
      <c r="B59" s="3" t="s">
        <v>235</v>
      </c>
      <c r="C59" s="3" t="s">
        <v>297</v>
      </c>
      <c r="D59" s="32">
        <v>8</v>
      </c>
      <c r="E59" s="33">
        <v>6</v>
      </c>
      <c r="F59" s="34">
        <v>8</v>
      </c>
      <c r="G59" s="35">
        <v>0</v>
      </c>
      <c r="H59" s="37">
        <v>8</v>
      </c>
      <c r="I59" s="39">
        <v>40</v>
      </c>
      <c r="J59" s="40">
        <f t="shared" si="0"/>
        <v>5</v>
      </c>
      <c r="K59" s="36">
        <v>4</v>
      </c>
      <c r="L59" s="41">
        <f t="shared" si="1"/>
        <v>5.4</v>
      </c>
      <c r="M59" s="58">
        <v>57</v>
      </c>
      <c r="N59" s="55">
        <v>6</v>
      </c>
      <c r="O59" s="50">
        <v>7</v>
      </c>
      <c r="P59" s="50">
        <v>8</v>
      </c>
      <c r="Q59" s="50">
        <v>9</v>
      </c>
      <c r="R59" s="50">
        <v>10</v>
      </c>
      <c r="S59" s="54">
        <f t="shared" si="2"/>
        <v>40</v>
      </c>
      <c r="T59"/>
      <c r="U59"/>
      <c r="V59"/>
      <c r="W59"/>
      <c r="X59"/>
      <c r="Y59"/>
      <c r="Z59"/>
    </row>
    <row r="60" spans="1:26" x14ac:dyDescent="0.2">
      <c r="A60" s="3"/>
      <c r="B60" s="3" t="s">
        <v>237</v>
      </c>
      <c r="C60" s="3" t="s">
        <v>298</v>
      </c>
      <c r="D60" s="32">
        <v>8</v>
      </c>
      <c r="E60" s="33">
        <v>7</v>
      </c>
      <c r="F60" s="34">
        <v>10</v>
      </c>
      <c r="G60" s="35">
        <v>5</v>
      </c>
      <c r="H60" s="37">
        <v>7</v>
      </c>
      <c r="I60" s="39">
        <v>44</v>
      </c>
      <c r="J60" s="40">
        <f t="shared" si="0"/>
        <v>5.9</v>
      </c>
      <c r="K60" s="36">
        <v>0</v>
      </c>
      <c r="L60" s="41">
        <f t="shared" si="1"/>
        <v>5.9</v>
      </c>
      <c r="M60" s="58">
        <v>58</v>
      </c>
      <c r="N60" s="55">
        <v>9</v>
      </c>
      <c r="O60" s="50">
        <v>6</v>
      </c>
      <c r="P60" s="50">
        <v>9</v>
      </c>
      <c r="Q60" s="50">
        <v>10</v>
      </c>
      <c r="R60" s="50">
        <v>10</v>
      </c>
      <c r="S60" s="54">
        <f t="shared" si="2"/>
        <v>44</v>
      </c>
      <c r="T60"/>
      <c r="U60"/>
      <c r="V60"/>
      <c r="W60"/>
      <c r="X60"/>
      <c r="Y60"/>
      <c r="Z60"/>
    </row>
    <row r="61" spans="1:26" x14ac:dyDescent="0.2">
      <c r="A61" s="3"/>
      <c r="B61" s="3"/>
      <c r="C61" s="3" t="s">
        <v>483</v>
      </c>
      <c r="D61" s="32">
        <v>10</v>
      </c>
      <c r="E61" s="33">
        <v>6</v>
      </c>
      <c r="F61" s="34">
        <v>10</v>
      </c>
      <c r="G61" s="35">
        <v>5</v>
      </c>
      <c r="H61" s="37">
        <v>8</v>
      </c>
      <c r="I61" s="39">
        <v>47</v>
      </c>
      <c r="J61" s="40">
        <f t="shared" si="0"/>
        <v>6.25</v>
      </c>
      <c r="K61" s="36">
        <v>8</v>
      </c>
      <c r="L61" s="41">
        <f t="shared" si="1"/>
        <v>7.05</v>
      </c>
      <c r="M61" s="58">
        <v>59</v>
      </c>
      <c r="N61" s="56">
        <v>10</v>
      </c>
      <c r="O61" s="51">
        <v>8</v>
      </c>
      <c r="P61" s="51">
        <v>9</v>
      </c>
      <c r="Q61" s="51">
        <v>10</v>
      </c>
      <c r="R61" s="51">
        <v>10</v>
      </c>
      <c r="S61" s="54">
        <f t="shared" si="2"/>
        <v>47</v>
      </c>
      <c r="T61"/>
      <c r="U61"/>
      <c r="V61"/>
      <c r="W61"/>
      <c r="X61"/>
      <c r="Y61"/>
      <c r="Z61"/>
    </row>
    <row r="62" spans="1:26" x14ac:dyDescent="0.2">
      <c r="A62" s="3"/>
      <c r="B62" s="3"/>
      <c r="C62" s="3" t="s">
        <v>484</v>
      </c>
      <c r="D62" s="32">
        <v>10</v>
      </c>
      <c r="E62" s="33">
        <v>6</v>
      </c>
      <c r="F62" s="34">
        <v>8</v>
      </c>
      <c r="G62" s="35">
        <v>5</v>
      </c>
      <c r="H62" s="37">
        <v>8</v>
      </c>
      <c r="I62" s="39">
        <v>46</v>
      </c>
      <c r="J62" s="40">
        <f t="shared" si="0"/>
        <v>6</v>
      </c>
      <c r="K62" s="36">
        <v>0</v>
      </c>
      <c r="L62" s="41">
        <f t="shared" si="1"/>
        <v>6</v>
      </c>
      <c r="M62" s="58">
        <v>60</v>
      </c>
      <c r="N62" s="56">
        <v>10</v>
      </c>
      <c r="O62" s="51">
        <v>8</v>
      </c>
      <c r="P62" s="51">
        <v>8</v>
      </c>
      <c r="Q62" s="51">
        <v>10</v>
      </c>
      <c r="R62" s="51">
        <v>10</v>
      </c>
      <c r="S62" s="54">
        <f t="shared" si="2"/>
        <v>46</v>
      </c>
      <c r="T62"/>
      <c r="U62"/>
      <c r="V62"/>
      <c r="W62"/>
      <c r="X62"/>
      <c r="Y62"/>
      <c r="Z62"/>
    </row>
    <row r="63" spans="1:26" x14ac:dyDescent="0.2">
      <c r="S63"/>
      <c r="T63"/>
      <c r="U63"/>
      <c r="V63"/>
      <c r="W63"/>
      <c r="X63"/>
      <c r="Y63"/>
      <c r="Z63"/>
    </row>
    <row r="64" spans="1:26" x14ac:dyDescent="0.2">
      <c r="S64"/>
      <c r="T64"/>
      <c r="U64"/>
      <c r="V64"/>
      <c r="W64"/>
      <c r="X64"/>
      <c r="Y64"/>
      <c r="Z64"/>
    </row>
    <row r="65" spans="19:26" x14ac:dyDescent="0.2">
      <c r="S65"/>
      <c r="T65"/>
      <c r="U65"/>
      <c r="V65"/>
      <c r="W65"/>
      <c r="X65"/>
      <c r="Y65"/>
      <c r="Z65"/>
    </row>
    <row r="66" spans="19:26" x14ac:dyDescent="0.2">
      <c r="S66"/>
      <c r="T66"/>
      <c r="U66"/>
      <c r="V66"/>
      <c r="W66"/>
      <c r="X66"/>
      <c r="Y66"/>
      <c r="Z66"/>
    </row>
    <row r="67" spans="19:26" x14ac:dyDescent="0.2">
      <c r="S67"/>
      <c r="T67"/>
      <c r="U67"/>
      <c r="V67"/>
      <c r="W67"/>
      <c r="X67"/>
      <c r="Y67"/>
      <c r="Z67"/>
    </row>
    <row r="68" spans="19:26" x14ac:dyDescent="0.2">
      <c r="S68"/>
      <c r="T68"/>
      <c r="U68"/>
      <c r="V68"/>
      <c r="W68"/>
      <c r="X68"/>
      <c r="Y68"/>
      <c r="Z68"/>
    </row>
    <row r="69" spans="19:26" x14ac:dyDescent="0.2">
      <c r="S69"/>
      <c r="T69"/>
      <c r="U69"/>
      <c r="V69"/>
      <c r="W69"/>
      <c r="X69"/>
      <c r="Y69"/>
      <c r="Z69"/>
    </row>
    <row r="70" spans="19:26" x14ac:dyDescent="0.2">
      <c r="S70"/>
      <c r="T70"/>
      <c r="U70"/>
      <c r="V70"/>
      <c r="W70"/>
      <c r="X70"/>
      <c r="Y70"/>
      <c r="Z70"/>
    </row>
    <row r="71" spans="19:26" x14ac:dyDescent="0.2">
      <c r="S71"/>
      <c r="T71"/>
      <c r="U71"/>
      <c r="V71"/>
      <c r="W71"/>
      <c r="X71"/>
      <c r="Y71"/>
      <c r="Z71"/>
    </row>
    <row r="72" spans="19:26" x14ac:dyDescent="0.2">
      <c r="S72"/>
      <c r="T72"/>
      <c r="U72"/>
      <c r="V72"/>
      <c r="W72"/>
      <c r="X72"/>
      <c r="Y72"/>
      <c r="Z72"/>
    </row>
    <row r="73" spans="19:26" x14ac:dyDescent="0.2">
      <c r="S73"/>
      <c r="T73"/>
      <c r="U73"/>
      <c r="V73"/>
      <c r="W73"/>
      <c r="X73"/>
      <c r="Y73"/>
      <c r="Z73"/>
    </row>
    <row r="74" spans="19:26" x14ac:dyDescent="0.2">
      <c r="S74"/>
      <c r="T74"/>
      <c r="U74"/>
      <c r="V74"/>
      <c r="W74"/>
      <c r="X74"/>
      <c r="Y74"/>
      <c r="Z74"/>
    </row>
  </sheetData>
  <mergeCells count="2">
    <mergeCell ref="A1:L1"/>
    <mergeCell ref="M1:S1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1"/>
  <sheetViews>
    <sheetView topLeftCell="A48" workbookViewId="0">
      <selection activeCell="M1" sqref="M1:S1"/>
    </sheetView>
  </sheetViews>
  <sheetFormatPr baseColWidth="10" defaultRowHeight="12.75" x14ac:dyDescent="0.2"/>
  <cols>
    <col min="1" max="1" width="4.140625" style="7" customWidth="1"/>
    <col min="2" max="2" width="2.42578125" style="7" bestFit="1" customWidth="1"/>
    <col min="3" max="3" width="31.85546875" style="7" bestFit="1" customWidth="1"/>
    <col min="4" max="5" width="5.140625" style="7" bestFit="1" customWidth="1"/>
    <col min="6" max="6" width="5.5703125" style="7" bestFit="1" customWidth="1"/>
    <col min="7" max="7" width="4.85546875" style="7" bestFit="1" customWidth="1"/>
    <col min="8" max="8" width="7.5703125" style="7" bestFit="1" customWidth="1"/>
    <col min="9" max="9" width="5.7109375" style="7" customWidth="1"/>
    <col min="10" max="10" width="4.85546875" style="7" bestFit="1" customWidth="1"/>
    <col min="11" max="11" width="6" style="7" customWidth="1"/>
    <col min="12" max="12" width="5.5703125" style="7" bestFit="1" customWidth="1"/>
    <col min="13" max="13" width="9" style="7" customWidth="1"/>
    <col min="14" max="14" width="5.85546875" style="7" bestFit="1" customWidth="1"/>
    <col min="15" max="15" width="5.140625" style="7" customWidth="1"/>
    <col min="16" max="16" width="6.5703125" style="7" customWidth="1"/>
    <col min="17" max="17" width="6" style="7" customWidth="1"/>
    <col min="18" max="18" width="8.42578125" style="7" customWidth="1"/>
    <col min="19" max="16384" width="11.42578125" style="7"/>
  </cols>
  <sheetData>
    <row r="1" spans="1:27" ht="18.75" x14ac:dyDescent="0.3">
      <c r="A1" s="49" t="s">
        <v>481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61" t="s">
        <v>477</v>
      </c>
      <c r="N1" s="61"/>
      <c r="O1" s="61"/>
      <c r="P1" s="61"/>
      <c r="Q1" s="61"/>
      <c r="R1" s="61"/>
      <c r="S1" s="61"/>
    </row>
    <row r="2" spans="1:27" x14ac:dyDescent="0.2">
      <c r="A2" s="8" t="s">
        <v>299</v>
      </c>
      <c r="B2" s="9" t="s">
        <v>300</v>
      </c>
      <c r="C2" s="10" t="s">
        <v>301</v>
      </c>
      <c r="D2" s="32" t="s">
        <v>468</v>
      </c>
      <c r="E2" s="33" t="s">
        <v>112</v>
      </c>
      <c r="F2" s="34" t="s">
        <v>469</v>
      </c>
      <c r="G2" s="35" t="s">
        <v>470</v>
      </c>
      <c r="H2" s="37" t="s">
        <v>113</v>
      </c>
      <c r="I2" s="39" t="s">
        <v>476</v>
      </c>
      <c r="J2" s="40" t="s">
        <v>474</v>
      </c>
      <c r="K2" s="36" t="s">
        <v>475</v>
      </c>
      <c r="L2" s="41" t="s">
        <v>473</v>
      </c>
      <c r="M2" s="57" t="s">
        <v>485</v>
      </c>
      <c r="N2" s="25"/>
      <c r="O2" s="25"/>
      <c r="P2" s="25"/>
      <c r="Q2" s="25"/>
      <c r="R2" s="25"/>
      <c r="S2" s="53" t="s">
        <v>486</v>
      </c>
      <c r="T2"/>
      <c r="U2"/>
      <c r="V2"/>
      <c r="W2"/>
      <c r="X2"/>
      <c r="Y2"/>
      <c r="Z2"/>
      <c r="AA2"/>
    </row>
    <row r="3" spans="1:27" x14ac:dyDescent="0.2">
      <c r="A3" s="11"/>
      <c r="B3" s="9" t="s">
        <v>302</v>
      </c>
      <c r="C3" s="12" t="s">
        <v>303</v>
      </c>
      <c r="D3" s="32">
        <v>14</v>
      </c>
      <c r="E3" s="33">
        <v>2</v>
      </c>
      <c r="F3" s="34">
        <v>8</v>
      </c>
      <c r="G3" s="35">
        <v>5</v>
      </c>
      <c r="H3" s="37">
        <v>5</v>
      </c>
      <c r="I3" s="39">
        <v>32</v>
      </c>
      <c r="J3" s="40">
        <f>(D3/10)+(E3/10)+(F3/10)+(G3/10)+(H3/10)+(I3*2.5/50)</f>
        <v>5</v>
      </c>
      <c r="K3" s="36">
        <v>7</v>
      </c>
      <c r="L3" s="41">
        <f>(J3)+(K3/10)</f>
        <v>5.7</v>
      </c>
      <c r="M3" s="58">
        <v>1</v>
      </c>
      <c r="N3" s="25">
        <v>8</v>
      </c>
      <c r="O3" s="25">
        <v>5</v>
      </c>
      <c r="P3" s="25">
        <v>4</v>
      </c>
      <c r="Q3" s="25">
        <v>5</v>
      </c>
      <c r="R3" s="25">
        <v>10</v>
      </c>
      <c r="S3" s="53">
        <f>SUM(N3:R3)</f>
        <v>32</v>
      </c>
      <c r="T3"/>
      <c r="U3"/>
      <c r="V3"/>
      <c r="W3"/>
      <c r="X3"/>
      <c r="Y3"/>
      <c r="Z3"/>
      <c r="AA3"/>
    </row>
    <row r="4" spans="1:27" x14ac:dyDescent="0.2">
      <c r="A4" s="11"/>
      <c r="B4" s="9" t="s">
        <v>304</v>
      </c>
      <c r="C4" s="13" t="s">
        <v>305</v>
      </c>
      <c r="D4" s="32">
        <v>10</v>
      </c>
      <c r="E4" s="33">
        <v>6</v>
      </c>
      <c r="F4" s="34">
        <v>0</v>
      </c>
      <c r="G4" s="35">
        <v>5</v>
      </c>
      <c r="H4" s="37">
        <v>5</v>
      </c>
      <c r="I4" s="39">
        <v>35</v>
      </c>
      <c r="J4" s="40">
        <f t="shared" ref="J4:J56" si="0">(D4/10)+(E4/10)+(F4/10)+(G4/10)+(H4/10)+(I4*2.5/50)</f>
        <v>4.3499999999999996</v>
      </c>
      <c r="K4" s="36">
        <v>0</v>
      </c>
      <c r="L4" s="41">
        <f t="shared" ref="L4:L56" si="1">(J4)+(K4/10)</f>
        <v>4.3499999999999996</v>
      </c>
      <c r="M4" s="58">
        <v>2</v>
      </c>
      <c r="N4" s="25">
        <v>6</v>
      </c>
      <c r="O4" s="25">
        <v>7</v>
      </c>
      <c r="P4" s="25">
        <v>4</v>
      </c>
      <c r="Q4" s="25">
        <v>8</v>
      </c>
      <c r="R4" s="25">
        <v>10</v>
      </c>
      <c r="S4" s="53">
        <f t="shared" ref="S4:S56" si="2">SUM(N4:R4)</f>
        <v>35</v>
      </c>
      <c r="T4"/>
      <c r="U4"/>
      <c r="V4"/>
      <c r="W4"/>
      <c r="X4"/>
      <c r="Y4"/>
      <c r="Z4"/>
      <c r="AA4"/>
    </row>
    <row r="5" spans="1:27" x14ac:dyDescent="0.2">
      <c r="A5" s="11" t="s">
        <v>306</v>
      </c>
      <c r="B5" s="12"/>
      <c r="C5" s="12" t="s">
        <v>307</v>
      </c>
      <c r="D5" s="32">
        <v>7</v>
      </c>
      <c r="E5" s="33">
        <v>8</v>
      </c>
      <c r="F5" s="34">
        <v>0</v>
      </c>
      <c r="G5" s="35">
        <v>5</v>
      </c>
      <c r="H5" s="37">
        <v>8</v>
      </c>
      <c r="I5" s="39">
        <v>13</v>
      </c>
      <c r="J5" s="40">
        <f t="shared" si="0"/>
        <v>3.4499999999999997</v>
      </c>
      <c r="K5" s="36">
        <v>10</v>
      </c>
      <c r="L5" s="41">
        <f t="shared" si="1"/>
        <v>4.4499999999999993</v>
      </c>
      <c r="M5" s="58">
        <v>3</v>
      </c>
      <c r="N5" s="25">
        <v>8</v>
      </c>
      <c r="O5" s="25">
        <v>5</v>
      </c>
      <c r="P5" s="25">
        <v>0</v>
      </c>
      <c r="Q5" s="25">
        <v>0</v>
      </c>
      <c r="R5" s="25">
        <v>0</v>
      </c>
      <c r="S5" s="53">
        <f t="shared" si="2"/>
        <v>13</v>
      </c>
      <c r="T5"/>
      <c r="U5"/>
      <c r="V5"/>
      <c r="W5"/>
      <c r="X5"/>
      <c r="Y5"/>
      <c r="Z5"/>
      <c r="AA5"/>
    </row>
    <row r="6" spans="1:27" x14ac:dyDescent="0.2">
      <c r="A6" s="11"/>
      <c r="B6" s="9" t="s">
        <v>308</v>
      </c>
      <c r="C6" s="9" t="s">
        <v>309</v>
      </c>
      <c r="D6" s="32">
        <v>10</v>
      </c>
      <c r="E6" s="33">
        <v>5</v>
      </c>
      <c r="F6" s="34">
        <v>5</v>
      </c>
      <c r="G6" s="35">
        <v>5</v>
      </c>
      <c r="H6" s="37">
        <v>7</v>
      </c>
      <c r="I6" s="39">
        <v>32</v>
      </c>
      <c r="J6" s="40">
        <f t="shared" si="0"/>
        <v>4.8000000000000007</v>
      </c>
      <c r="K6" s="36">
        <v>2</v>
      </c>
      <c r="L6" s="41">
        <f t="shared" si="1"/>
        <v>5.0000000000000009</v>
      </c>
      <c r="M6" s="58">
        <v>4</v>
      </c>
      <c r="N6" s="25">
        <v>10</v>
      </c>
      <c r="O6" s="25">
        <v>8</v>
      </c>
      <c r="P6" s="25">
        <v>10</v>
      </c>
      <c r="Q6" s="25">
        <v>4</v>
      </c>
      <c r="R6" s="25">
        <v>0</v>
      </c>
      <c r="S6" s="53">
        <f t="shared" si="2"/>
        <v>32</v>
      </c>
      <c r="T6"/>
      <c r="U6"/>
      <c r="V6"/>
      <c r="W6"/>
      <c r="X6"/>
      <c r="Y6"/>
      <c r="Z6"/>
      <c r="AA6"/>
    </row>
    <row r="7" spans="1:27" x14ac:dyDescent="0.2">
      <c r="A7" s="8" t="s">
        <v>310</v>
      </c>
      <c r="B7" s="12"/>
      <c r="C7" s="9" t="s">
        <v>311</v>
      </c>
      <c r="D7" s="32">
        <v>0</v>
      </c>
      <c r="E7" s="33">
        <v>7</v>
      </c>
      <c r="F7" s="34">
        <v>0</v>
      </c>
      <c r="G7" s="35">
        <v>5</v>
      </c>
      <c r="H7" s="37">
        <v>6</v>
      </c>
      <c r="I7" s="39">
        <v>32</v>
      </c>
      <c r="J7" s="40">
        <f t="shared" si="0"/>
        <v>3.4</v>
      </c>
      <c r="K7" s="36">
        <v>0</v>
      </c>
      <c r="L7" s="41">
        <f t="shared" si="1"/>
        <v>3.4</v>
      </c>
      <c r="M7" s="58">
        <v>5</v>
      </c>
      <c r="N7" s="25">
        <v>6</v>
      </c>
      <c r="O7" s="25">
        <v>7</v>
      </c>
      <c r="P7" s="25">
        <v>3</v>
      </c>
      <c r="Q7" s="25">
        <v>6</v>
      </c>
      <c r="R7" s="25">
        <v>10</v>
      </c>
      <c r="S7" s="53">
        <f t="shared" si="2"/>
        <v>32</v>
      </c>
      <c r="T7"/>
      <c r="U7"/>
      <c r="V7"/>
      <c r="W7"/>
      <c r="X7"/>
      <c r="Y7"/>
      <c r="Z7"/>
      <c r="AA7"/>
    </row>
    <row r="8" spans="1:27" x14ac:dyDescent="0.2">
      <c r="A8" s="8" t="s">
        <v>312</v>
      </c>
      <c r="B8" s="12"/>
      <c r="C8" s="12" t="s">
        <v>313</v>
      </c>
      <c r="D8" s="32">
        <v>0</v>
      </c>
      <c r="E8" s="33">
        <v>6</v>
      </c>
      <c r="F8" s="34">
        <v>0</v>
      </c>
      <c r="G8" s="35">
        <v>5</v>
      </c>
      <c r="H8" s="37">
        <v>6</v>
      </c>
      <c r="I8" s="39">
        <v>21</v>
      </c>
      <c r="J8" s="40">
        <f t="shared" si="0"/>
        <v>2.75</v>
      </c>
      <c r="K8" s="36">
        <v>4</v>
      </c>
      <c r="L8" s="41">
        <f t="shared" si="1"/>
        <v>3.15</v>
      </c>
      <c r="M8" s="58">
        <v>6</v>
      </c>
      <c r="N8" s="25">
        <v>5</v>
      </c>
      <c r="O8" s="25">
        <v>2</v>
      </c>
      <c r="P8" s="25">
        <v>5</v>
      </c>
      <c r="Q8" s="25">
        <v>4</v>
      </c>
      <c r="R8" s="25">
        <v>5</v>
      </c>
      <c r="S8" s="53">
        <f t="shared" si="2"/>
        <v>21</v>
      </c>
      <c r="T8"/>
      <c r="U8"/>
      <c r="V8"/>
      <c r="W8"/>
      <c r="X8"/>
      <c r="Y8"/>
      <c r="Z8"/>
      <c r="AA8"/>
    </row>
    <row r="9" spans="1:27" x14ac:dyDescent="0.2">
      <c r="A9" s="8" t="s">
        <v>314</v>
      </c>
      <c r="B9" s="12"/>
      <c r="C9" s="9" t="s">
        <v>315</v>
      </c>
      <c r="D9" s="32">
        <v>14</v>
      </c>
      <c r="E9" s="33">
        <v>7</v>
      </c>
      <c r="F9" s="34">
        <v>14</v>
      </c>
      <c r="G9" s="35">
        <v>2</v>
      </c>
      <c r="H9" s="37">
        <v>7.5</v>
      </c>
      <c r="I9" s="39">
        <v>50</v>
      </c>
      <c r="J9" s="40">
        <f t="shared" si="0"/>
        <v>6.9499999999999993</v>
      </c>
      <c r="K9" s="36">
        <v>2</v>
      </c>
      <c r="L9" s="41">
        <f t="shared" si="1"/>
        <v>7.1499999999999995</v>
      </c>
      <c r="M9" s="58">
        <v>7</v>
      </c>
      <c r="N9" s="25">
        <v>10</v>
      </c>
      <c r="O9" s="25">
        <v>10</v>
      </c>
      <c r="P9" s="25">
        <v>10</v>
      </c>
      <c r="Q9" s="25">
        <v>10</v>
      </c>
      <c r="R9" s="25">
        <v>10</v>
      </c>
      <c r="S9" s="53">
        <f t="shared" si="2"/>
        <v>50</v>
      </c>
      <c r="T9"/>
      <c r="U9"/>
      <c r="V9"/>
      <c r="W9"/>
      <c r="X9"/>
      <c r="Y9"/>
      <c r="Z9"/>
      <c r="AA9"/>
    </row>
    <row r="10" spans="1:27" x14ac:dyDescent="0.2">
      <c r="A10" s="11"/>
      <c r="B10" s="9" t="s">
        <v>316</v>
      </c>
      <c r="C10" s="13" t="s">
        <v>317</v>
      </c>
      <c r="D10" s="32">
        <v>10</v>
      </c>
      <c r="E10" s="33">
        <v>6</v>
      </c>
      <c r="F10" s="34">
        <v>8</v>
      </c>
      <c r="G10" s="35">
        <v>5</v>
      </c>
      <c r="H10" s="37">
        <v>9</v>
      </c>
      <c r="I10" s="39">
        <v>39</v>
      </c>
      <c r="J10" s="40">
        <f t="shared" si="0"/>
        <v>5.75</v>
      </c>
      <c r="K10" s="36">
        <v>3</v>
      </c>
      <c r="L10" s="41">
        <f t="shared" si="1"/>
        <v>6.05</v>
      </c>
      <c r="M10" s="58">
        <v>8</v>
      </c>
      <c r="N10" s="25">
        <v>9</v>
      </c>
      <c r="O10" s="25">
        <v>6</v>
      </c>
      <c r="P10" s="25">
        <v>4</v>
      </c>
      <c r="Q10" s="25">
        <v>10</v>
      </c>
      <c r="R10" s="25">
        <v>10</v>
      </c>
      <c r="S10" s="53">
        <f t="shared" si="2"/>
        <v>39</v>
      </c>
      <c r="T10"/>
      <c r="U10"/>
      <c r="V10"/>
      <c r="W10"/>
      <c r="X10"/>
      <c r="Y10"/>
      <c r="Z10"/>
      <c r="AA10"/>
    </row>
    <row r="11" spans="1:27" x14ac:dyDescent="0.2">
      <c r="A11" s="11"/>
      <c r="B11" s="9" t="s">
        <v>318</v>
      </c>
      <c r="C11" s="9" t="s">
        <v>319</v>
      </c>
      <c r="D11" s="32">
        <v>10</v>
      </c>
      <c r="E11" s="33">
        <v>4</v>
      </c>
      <c r="F11" s="34">
        <v>10</v>
      </c>
      <c r="G11" s="35">
        <v>5</v>
      </c>
      <c r="H11" s="37">
        <v>5</v>
      </c>
      <c r="I11" s="39">
        <v>46</v>
      </c>
      <c r="J11" s="40">
        <f t="shared" si="0"/>
        <v>5.6999999999999993</v>
      </c>
      <c r="K11" s="36">
        <v>0</v>
      </c>
      <c r="L11" s="41">
        <f t="shared" si="1"/>
        <v>5.6999999999999993</v>
      </c>
      <c r="M11" s="58">
        <v>9</v>
      </c>
      <c r="N11" s="25">
        <v>10</v>
      </c>
      <c r="O11" s="25">
        <v>6</v>
      </c>
      <c r="P11" s="25">
        <v>10</v>
      </c>
      <c r="Q11" s="25">
        <v>10</v>
      </c>
      <c r="R11" s="25">
        <v>10</v>
      </c>
      <c r="S11" s="53">
        <f t="shared" si="2"/>
        <v>46</v>
      </c>
      <c r="T11"/>
      <c r="U11"/>
      <c r="V11"/>
      <c r="W11"/>
      <c r="X11"/>
      <c r="Y11"/>
      <c r="Z11"/>
      <c r="AA11"/>
    </row>
    <row r="12" spans="1:27" x14ac:dyDescent="0.2">
      <c r="A12" s="8" t="s">
        <v>320</v>
      </c>
      <c r="B12" s="12"/>
      <c r="C12" s="13" t="s">
        <v>321</v>
      </c>
      <c r="D12" s="32">
        <v>0</v>
      </c>
      <c r="E12" s="33">
        <v>5</v>
      </c>
      <c r="F12" s="34">
        <v>0</v>
      </c>
      <c r="G12" s="35">
        <v>0</v>
      </c>
      <c r="H12" s="37">
        <v>8</v>
      </c>
      <c r="I12" s="39">
        <v>12</v>
      </c>
      <c r="J12" s="40">
        <f t="shared" si="0"/>
        <v>1.9</v>
      </c>
      <c r="K12" s="36">
        <v>0</v>
      </c>
      <c r="L12" s="41">
        <f t="shared" si="1"/>
        <v>1.9</v>
      </c>
      <c r="M12" s="58">
        <v>10</v>
      </c>
      <c r="N12" s="25">
        <v>10</v>
      </c>
      <c r="O12" s="25">
        <v>0</v>
      </c>
      <c r="P12" s="25">
        <v>0</v>
      </c>
      <c r="Q12" s="25">
        <v>2</v>
      </c>
      <c r="R12" s="25">
        <v>0</v>
      </c>
      <c r="S12" s="53">
        <f t="shared" si="2"/>
        <v>12</v>
      </c>
      <c r="T12"/>
      <c r="U12"/>
      <c r="V12"/>
      <c r="W12"/>
      <c r="X12"/>
      <c r="Y12"/>
      <c r="Z12"/>
      <c r="AA12"/>
    </row>
    <row r="13" spans="1:27" x14ac:dyDescent="0.2">
      <c r="A13" s="8" t="s">
        <v>322</v>
      </c>
      <c r="B13" s="12"/>
      <c r="C13" s="13" t="s">
        <v>323</v>
      </c>
      <c r="D13" s="32">
        <v>14</v>
      </c>
      <c r="E13" s="33">
        <v>5</v>
      </c>
      <c r="F13" s="34">
        <v>14</v>
      </c>
      <c r="G13" s="35">
        <v>5</v>
      </c>
      <c r="H13" s="37">
        <v>8</v>
      </c>
      <c r="I13" s="39">
        <v>45</v>
      </c>
      <c r="J13" s="40">
        <f t="shared" si="0"/>
        <v>6.85</v>
      </c>
      <c r="K13" s="36">
        <v>0</v>
      </c>
      <c r="L13" s="41">
        <f t="shared" si="1"/>
        <v>6.85</v>
      </c>
      <c r="M13" s="58">
        <v>11</v>
      </c>
      <c r="N13" s="25">
        <v>10</v>
      </c>
      <c r="O13" s="25">
        <v>7</v>
      </c>
      <c r="P13" s="25">
        <v>10</v>
      </c>
      <c r="Q13" s="25">
        <v>8</v>
      </c>
      <c r="R13" s="25">
        <v>10</v>
      </c>
      <c r="S13" s="53">
        <f t="shared" si="2"/>
        <v>45</v>
      </c>
      <c r="T13"/>
      <c r="U13"/>
      <c r="V13"/>
      <c r="W13"/>
      <c r="X13"/>
      <c r="Y13"/>
      <c r="Z13"/>
      <c r="AA13"/>
    </row>
    <row r="14" spans="1:27" x14ac:dyDescent="0.2">
      <c r="A14" s="11"/>
      <c r="B14" s="9" t="s">
        <v>324</v>
      </c>
      <c r="C14" s="13" t="s">
        <v>325</v>
      </c>
      <c r="D14" s="32">
        <v>10</v>
      </c>
      <c r="E14" s="33">
        <v>5</v>
      </c>
      <c r="F14" s="34">
        <v>8</v>
      </c>
      <c r="G14" s="35">
        <v>5</v>
      </c>
      <c r="H14" s="37">
        <v>4</v>
      </c>
      <c r="I14" s="39">
        <v>41</v>
      </c>
      <c r="J14" s="40">
        <f t="shared" si="0"/>
        <v>5.25</v>
      </c>
      <c r="K14" s="36">
        <v>10</v>
      </c>
      <c r="L14" s="41">
        <f t="shared" si="1"/>
        <v>6.25</v>
      </c>
      <c r="M14" s="58">
        <v>12</v>
      </c>
      <c r="N14" s="25">
        <v>5</v>
      </c>
      <c r="O14" s="25">
        <v>8</v>
      </c>
      <c r="P14" s="25">
        <v>8</v>
      </c>
      <c r="Q14" s="25">
        <v>10</v>
      </c>
      <c r="R14" s="25">
        <v>10</v>
      </c>
      <c r="S14" s="53">
        <f t="shared" si="2"/>
        <v>41</v>
      </c>
      <c r="T14"/>
      <c r="U14"/>
      <c r="V14"/>
      <c r="W14"/>
      <c r="X14"/>
      <c r="Y14"/>
      <c r="Z14"/>
      <c r="AA14"/>
    </row>
    <row r="15" spans="1:27" x14ac:dyDescent="0.2">
      <c r="A15" s="11"/>
      <c r="B15" s="9" t="s">
        <v>326</v>
      </c>
      <c r="C15" s="9" t="s">
        <v>327</v>
      </c>
      <c r="D15" s="32">
        <v>14</v>
      </c>
      <c r="E15" s="33">
        <v>5</v>
      </c>
      <c r="F15" s="34">
        <v>14</v>
      </c>
      <c r="G15" s="35">
        <v>8</v>
      </c>
      <c r="H15" s="37">
        <v>6</v>
      </c>
      <c r="I15" s="39">
        <v>49</v>
      </c>
      <c r="J15" s="40">
        <f t="shared" si="0"/>
        <v>7.1499999999999995</v>
      </c>
      <c r="K15" s="36">
        <v>30</v>
      </c>
      <c r="L15" s="41">
        <f t="shared" si="1"/>
        <v>10.149999999999999</v>
      </c>
      <c r="M15" s="58">
        <v>13</v>
      </c>
      <c r="N15" s="25">
        <v>10</v>
      </c>
      <c r="O15" s="25">
        <v>9</v>
      </c>
      <c r="P15" s="25">
        <v>10</v>
      </c>
      <c r="Q15" s="25">
        <v>10</v>
      </c>
      <c r="R15" s="25">
        <v>10</v>
      </c>
      <c r="S15" s="53">
        <f t="shared" si="2"/>
        <v>49</v>
      </c>
      <c r="T15"/>
      <c r="U15"/>
      <c r="V15"/>
      <c r="W15"/>
      <c r="X15"/>
      <c r="Y15"/>
      <c r="Z15"/>
      <c r="AA15"/>
    </row>
    <row r="16" spans="1:27" x14ac:dyDescent="0.2">
      <c r="A16" s="8" t="s">
        <v>328</v>
      </c>
      <c r="B16" s="12"/>
      <c r="C16" s="9" t="s">
        <v>329</v>
      </c>
      <c r="D16" s="32">
        <v>14</v>
      </c>
      <c r="E16" s="33">
        <v>5</v>
      </c>
      <c r="F16" s="34">
        <v>14</v>
      </c>
      <c r="G16" s="35">
        <v>5</v>
      </c>
      <c r="H16" s="37">
        <v>5</v>
      </c>
      <c r="I16" s="39">
        <v>36</v>
      </c>
      <c r="J16" s="40">
        <f t="shared" si="0"/>
        <v>6.1</v>
      </c>
      <c r="K16" s="36">
        <v>25</v>
      </c>
      <c r="L16" s="41">
        <f t="shared" si="1"/>
        <v>8.6</v>
      </c>
      <c r="M16" s="58">
        <v>14</v>
      </c>
      <c r="N16" s="25">
        <v>6</v>
      </c>
      <c r="O16" s="25">
        <v>10</v>
      </c>
      <c r="P16" s="25">
        <v>0</v>
      </c>
      <c r="Q16" s="25">
        <v>10</v>
      </c>
      <c r="R16" s="25">
        <v>10</v>
      </c>
      <c r="S16" s="53">
        <f t="shared" si="2"/>
        <v>36</v>
      </c>
      <c r="T16"/>
      <c r="U16"/>
      <c r="V16"/>
      <c r="W16"/>
      <c r="X16"/>
      <c r="Y16"/>
      <c r="Z16"/>
      <c r="AA16"/>
    </row>
    <row r="17" spans="1:27" x14ac:dyDescent="0.2">
      <c r="A17" s="11"/>
      <c r="B17" s="12" t="s">
        <v>330</v>
      </c>
      <c r="C17" s="12" t="s">
        <v>331</v>
      </c>
      <c r="D17" s="32">
        <v>10</v>
      </c>
      <c r="E17" s="33">
        <v>7</v>
      </c>
      <c r="F17" s="34">
        <v>10</v>
      </c>
      <c r="G17" s="35">
        <v>5</v>
      </c>
      <c r="H17" s="37">
        <v>8</v>
      </c>
      <c r="I17" s="39">
        <v>43</v>
      </c>
      <c r="J17" s="40">
        <f t="shared" si="0"/>
        <v>6.15</v>
      </c>
      <c r="K17" s="36">
        <v>2</v>
      </c>
      <c r="L17" s="41">
        <f t="shared" si="1"/>
        <v>6.3500000000000005</v>
      </c>
      <c r="M17" s="58">
        <v>15</v>
      </c>
      <c r="N17" s="25">
        <v>9</v>
      </c>
      <c r="O17" s="25">
        <v>6</v>
      </c>
      <c r="P17" s="25">
        <v>10</v>
      </c>
      <c r="Q17" s="25">
        <v>8</v>
      </c>
      <c r="R17" s="25">
        <v>10</v>
      </c>
      <c r="S17" s="53">
        <f t="shared" si="2"/>
        <v>43</v>
      </c>
      <c r="T17"/>
      <c r="U17"/>
      <c r="V17"/>
      <c r="W17"/>
      <c r="X17"/>
      <c r="Y17"/>
      <c r="Z17"/>
      <c r="AA17"/>
    </row>
    <row r="18" spans="1:27" x14ac:dyDescent="0.2">
      <c r="A18" s="11"/>
      <c r="B18" s="9" t="s">
        <v>332</v>
      </c>
      <c r="C18" s="13" t="s">
        <v>333</v>
      </c>
      <c r="D18" s="32">
        <v>10</v>
      </c>
      <c r="E18" s="33">
        <v>6</v>
      </c>
      <c r="F18" s="34">
        <v>8</v>
      </c>
      <c r="G18" s="35">
        <v>5</v>
      </c>
      <c r="H18" s="37">
        <v>8</v>
      </c>
      <c r="I18" s="39">
        <v>39</v>
      </c>
      <c r="J18" s="40">
        <f t="shared" si="0"/>
        <v>5.65</v>
      </c>
      <c r="K18" s="36">
        <v>4</v>
      </c>
      <c r="L18" s="41">
        <f t="shared" si="1"/>
        <v>6.0500000000000007</v>
      </c>
      <c r="M18" s="58">
        <v>16</v>
      </c>
      <c r="N18" s="25">
        <v>5</v>
      </c>
      <c r="O18" s="25">
        <v>6</v>
      </c>
      <c r="P18" s="25">
        <v>10</v>
      </c>
      <c r="Q18" s="25">
        <v>8</v>
      </c>
      <c r="R18" s="25">
        <v>10</v>
      </c>
      <c r="S18" s="53">
        <f t="shared" si="2"/>
        <v>39</v>
      </c>
      <c r="T18"/>
      <c r="U18"/>
      <c r="V18"/>
      <c r="W18"/>
      <c r="X18"/>
      <c r="Y18"/>
      <c r="Z18"/>
      <c r="AA18"/>
    </row>
    <row r="19" spans="1:27" x14ac:dyDescent="0.2">
      <c r="A19" s="11"/>
      <c r="B19" s="9" t="s">
        <v>334</v>
      </c>
      <c r="C19" s="9" t="s">
        <v>335</v>
      </c>
      <c r="D19" s="32">
        <v>14</v>
      </c>
      <c r="E19" s="33">
        <v>6</v>
      </c>
      <c r="F19" s="34">
        <v>14</v>
      </c>
      <c r="G19" s="35">
        <v>5</v>
      </c>
      <c r="H19" s="37">
        <v>5</v>
      </c>
      <c r="I19" s="39">
        <v>43</v>
      </c>
      <c r="J19" s="40">
        <f t="shared" si="0"/>
        <v>6.5500000000000007</v>
      </c>
      <c r="K19" s="36">
        <v>3</v>
      </c>
      <c r="L19" s="41">
        <f t="shared" si="1"/>
        <v>6.8500000000000005</v>
      </c>
      <c r="M19" s="58">
        <v>17</v>
      </c>
      <c r="N19" s="25">
        <v>9</v>
      </c>
      <c r="O19" s="25">
        <v>8</v>
      </c>
      <c r="P19" s="25">
        <v>10</v>
      </c>
      <c r="Q19" s="25">
        <v>6</v>
      </c>
      <c r="R19" s="25">
        <v>10</v>
      </c>
      <c r="S19" s="53">
        <f t="shared" si="2"/>
        <v>43</v>
      </c>
      <c r="T19"/>
      <c r="U19"/>
      <c r="V19"/>
      <c r="W19"/>
      <c r="X19"/>
      <c r="Y19"/>
      <c r="Z19"/>
      <c r="AA19"/>
    </row>
    <row r="20" spans="1:27" x14ac:dyDescent="0.2">
      <c r="A20" s="11"/>
      <c r="B20" s="9" t="s">
        <v>336</v>
      </c>
      <c r="C20" s="18" t="s">
        <v>465</v>
      </c>
      <c r="D20" s="32">
        <v>10</v>
      </c>
      <c r="E20" s="33">
        <v>6</v>
      </c>
      <c r="F20" s="34">
        <v>0</v>
      </c>
      <c r="G20" s="35">
        <v>0</v>
      </c>
      <c r="H20" s="37">
        <v>0</v>
      </c>
      <c r="I20" s="39">
        <v>37</v>
      </c>
      <c r="J20" s="40">
        <f t="shared" si="0"/>
        <v>3.45</v>
      </c>
      <c r="K20" s="36">
        <v>0</v>
      </c>
      <c r="L20" s="41">
        <f t="shared" si="1"/>
        <v>3.45</v>
      </c>
      <c r="M20" s="58">
        <v>18</v>
      </c>
      <c r="N20" s="25">
        <v>4</v>
      </c>
      <c r="O20" s="25">
        <v>8</v>
      </c>
      <c r="P20" s="25">
        <v>6</v>
      </c>
      <c r="Q20" s="25">
        <v>9</v>
      </c>
      <c r="R20" s="25">
        <v>10</v>
      </c>
      <c r="S20" s="53">
        <f t="shared" si="2"/>
        <v>37</v>
      </c>
      <c r="T20"/>
      <c r="U20"/>
      <c r="V20"/>
      <c r="W20"/>
      <c r="X20"/>
      <c r="Y20"/>
      <c r="Z20"/>
      <c r="AA20"/>
    </row>
    <row r="21" spans="1:27" x14ac:dyDescent="0.2">
      <c r="A21" s="11"/>
      <c r="B21" s="9" t="s">
        <v>337</v>
      </c>
      <c r="C21" s="9" t="s">
        <v>338</v>
      </c>
      <c r="D21" s="32">
        <v>10</v>
      </c>
      <c r="E21" s="33">
        <v>7</v>
      </c>
      <c r="F21" s="34">
        <v>10</v>
      </c>
      <c r="G21" s="35">
        <v>5</v>
      </c>
      <c r="H21" s="37">
        <v>5</v>
      </c>
      <c r="I21" s="39">
        <v>34</v>
      </c>
      <c r="J21" s="40">
        <f t="shared" si="0"/>
        <v>5.4</v>
      </c>
      <c r="K21" s="36">
        <v>4</v>
      </c>
      <c r="L21" s="41">
        <f t="shared" si="1"/>
        <v>5.8000000000000007</v>
      </c>
      <c r="M21" s="58">
        <v>19</v>
      </c>
      <c r="N21" s="25">
        <v>6</v>
      </c>
      <c r="O21" s="25">
        <v>8</v>
      </c>
      <c r="P21" s="25">
        <v>0</v>
      </c>
      <c r="Q21" s="25">
        <v>10</v>
      </c>
      <c r="R21" s="25">
        <v>10</v>
      </c>
      <c r="S21" s="53">
        <f t="shared" si="2"/>
        <v>34</v>
      </c>
      <c r="T21"/>
      <c r="U21"/>
      <c r="V21"/>
      <c r="W21"/>
      <c r="X21"/>
      <c r="Y21"/>
      <c r="Z21"/>
      <c r="AA21"/>
    </row>
    <row r="22" spans="1:27" x14ac:dyDescent="0.2">
      <c r="A22" s="42" t="s">
        <v>339</v>
      </c>
      <c r="B22" s="43"/>
      <c r="C22" s="44" t="s">
        <v>340</v>
      </c>
      <c r="D22" s="32">
        <v>0</v>
      </c>
      <c r="E22" s="33">
        <v>0</v>
      </c>
      <c r="F22" s="34">
        <v>0</v>
      </c>
      <c r="G22" s="35">
        <v>0</v>
      </c>
      <c r="H22" s="37">
        <v>0</v>
      </c>
      <c r="I22" s="39">
        <v>0</v>
      </c>
      <c r="J22" s="40">
        <f t="shared" si="0"/>
        <v>0</v>
      </c>
      <c r="K22" s="36">
        <v>0</v>
      </c>
      <c r="L22" s="41">
        <f t="shared" si="1"/>
        <v>0</v>
      </c>
      <c r="M22" s="58">
        <v>20</v>
      </c>
      <c r="N22" s="25">
        <v>0</v>
      </c>
      <c r="O22" s="25">
        <v>0</v>
      </c>
      <c r="P22" s="25">
        <v>0</v>
      </c>
      <c r="Q22" s="25">
        <v>0</v>
      </c>
      <c r="R22" s="25">
        <v>0</v>
      </c>
      <c r="S22" s="53">
        <f t="shared" si="2"/>
        <v>0</v>
      </c>
      <c r="T22"/>
      <c r="U22"/>
      <c r="V22"/>
      <c r="W22"/>
      <c r="X22"/>
      <c r="Y22"/>
      <c r="Z22"/>
      <c r="AA22"/>
    </row>
    <row r="23" spans="1:27" x14ac:dyDescent="0.2">
      <c r="A23" s="11"/>
      <c r="B23" s="9" t="s">
        <v>341</v>
      </c>
      <c r="C23" s="12" t="s">
        <v>342</v>
      </c>
      <c r="D23" s="32">
        <v>10</v>
      </c>
      <c r="E23" s="33">
        <v>6</v>
      </c>
      <c r="F23" s="34">
        <v>10</v>
      </c>
      <c r="G23" s="35">
        <v>5</v>
      </c>
      <c r="H23" s="37">
        <v>6</v>
      </c>
      <c r="I23" s="39">
        <v>45</v>
      </c>
      <c r="J23" s="40">
        <f t="shared" si="0"/>
        <v>5.95</v>
      </c>
      <c r="K23" s="36">
        <v>12</v>
      </c>
      <c r="L23" s="41">
        <f t="shared" si="1"/>
        <v>7.15</v>
      </c>
      <c r="M23" s="58">
        <v>21</v>
      </c>
      <c r="N23" s="25">
        <v>8</v>
      </c>
      <c r="O23" s="25">
        <v>8</v>
      </c>
      <c r="P23" s="25">
        <v>10</v>
      </c>
      <c r="Q23" s="25">
        <v>9</v>
      </c>
      <c r="R23" s="25">
        <v>10</v>
      </c>
      <c r="S23" s="53">
        <f t="shared" si="2"/>
        <v>45</v>
      </c>
      <c r="T23"/>
      <c r="U23"/>
      <c r="V23"/>
      <c r="W23"/>
      <c r="X23"/>
      <c r="Y23"/>
      <c r="Z23"/>
      <c r="AA23"/>
    </row>
    <row r="24" spans="1:27" x14ac:dyDescent="0.2">
      <c r="A24" s="8" t="s">
        <v>343</v>
      </c>
      <c r="B24" s="12"/>
      <c r="C24" s="13" t="s">
        <v>344</v>
      </c>
      <c r="D24" s="32">
        <v>8</v>
      </c>
      <c r="E24" s="33">
        <v>7</v>
      </c>
      <c r="F24" s="34">
        <v>8</v>
      </c>
      <c r="G24" s="35">
        <v>5</v>
      </c>
      <c r="H24" s="37">
        <v>6</v>
      </c>
      <c r="I24" s="39">
        <v>28</v>
      </c>
      <c r="J24" s="40">
        <f t="shared" si="0"/>
        <v>4.8</v>
      </c>
      <c r="K24" s="36">
        <v>0</v>
      </c>
      <c r="L24" s="41">
        <f t="shared" si="1"/>
        <v>4.8</v>
      </c>
      <c r="M24" s="58">
        <v>22</v>
      </c>
      <c r="N24" s="25">
        <v>8</v>
      </c>
      <c r="O24" s="25">
        <v>4</v>
      </c>
      <c r="P24" s="25">
        <v>0</v>
      </c>
      <c r="Q24" s="25">
        <v>6</v>
      </c>
      <c r="R24" s="25">
        <v>10</v>
      </c>
      <c r="S24" s="53">
        <f t="shared" si="2"/>
        <v>28</v>
      </c>
      <c r="T24"/>
      <c r="U24"/>
      <c r="V24"/>
      <c r="W24"/>
      <c r="X24"/>
      <c r="Y24"/>
      <c r="Z24"/>
      <c r="AA24"/>
    </row>
    <row r="25" spans="1:27" x14ac:dyDescent="0.2">
      <c r="A25" s="8" t="s">
        <v>345</v>
      </c>
      <c r="B25" s="12"/>
      <c r="C25" s="9" t="s">
        <v>346</v>
      </c>
      <c r="D25" s="32">
        <v>14</v>
      </c>
      <c r="E25" s="33">
        <v>5</v>
      </c>
      <c r="F25" s="34">
        <v>7</v>
      </c>
      <c r="G25" s="35">
        <v>5</v>
      </c>
      <c r="H25" s="37">
        <v>0</v>
      </c>
      <c r="I25" s="39">
        <v>26</v>
      </c>
      <c r="J25" s="40">
        <f t="shared" si="0"/>
        <v>4.3999999999999995</v>
      </c>
      <c r="K25" s="36">
        <v>0</v>
      </c>
      <c r="L25" s="41">
        <f t="shared" si="1"/>
        <v>4.3999999999999995</v>
      </c>
      <c r="M25" s="58">
        <v>23</v>
      </c>
      <c r="N25" s="25">
        <v>5</v>
      </c>
      <c r="O25" s="25">
        <v>5</v>
      </c>
      <c r="P25" s="25">
        <v>0</v>
      </c>
      <c r="Q25" s="25">
        <v>6</v>
      </c>
      <c r="R25" s="25">
        <v>10</v>
      </c>
      <c r="S25" s="53">
        <f t="shared" si="2"/>
        <v>26</v>
      </c>
      <c r="T25"/>
      <c r="U25"/>
      <c r="V25"/>
      <c r="W25"/>
      <c r="X25"/>
      <c r="Y25"/>
      <c r="Z25"/>
      <c r="AA25"/>
    </row>
    <row r="26" spans="1:27" x14ac:dyDescent="0.2">
      <c r="A26" s="8" t="s">
        <v>347</v>
      </c>
      <c r="B26" s="12"/>
      <c r="C26" s="9" t="s">
        <v>348</v>
      </c>
      <c r="D26" s="32">
        <v>8</v>
      </c>
      <c r="E26" s="33">
        <v>6</v>
      </c>
      <c r="F26" s="34">
        <v>7</v>
      </c>
      <c r="G26" s="35">
        <v>5</v>
      </c>
      <c r="H26" s="37">
        <v>7</v>
      </c>
      <c r="I26" s="39">
        <v>32</v>
      </c>
      <c r="J26" s="40">
        <f t="shared" si="0"/>
        <v>4.9000000000000004</v>
      </c>
      <c r="K26" s="36">
        <v>3</v>
      </c>
      <c r="L26" s="41">
        <f t="shared" si="1"/>
        <v>5.2</v>
      </c>
      <c r="M26" s="58">
        <v>24</v>
      </c>
      <c r="N26" s="25">
        <v>8</v>
      </c>
      <c r="O26" s="25">
        <v>7</v>
      </c>
      <c r="P26" s="25">
        <v>5</v>
      </c>
      <c r="Q26" s="25">
        <v>7</v>
      </c>
      <c r="R26" s="25">
        <v>5</v>
      </c>
      <c r="S26" s="53">
        <f t="shared" si="2"/>
        <v>32</v>
      </c>
      <c r="T26"/>
      <c r="U26"/>
      <c r="V26"/>
      <c r="W26"/>
      <c r="X26"/>
      <c r="Y26"/>
      <c r="Z26"/>
      <c r="AA26"/>
    </row>
    <row r="27" spans="1:27" x14ac:dyDescent="0.2">
      <c r="A27" s="8" t="s">
        <v>349</v>
      </c>
      <c r="B27" s="12"/>
      <c r="C27" s="9" t="s">
        <v>350</v>
      </c>
      <c r="D27" s="32">
        <v>14</v>
      </c>
      <c r="E27" s="33">
        <v>7</v>
      </c>
      <c r="F27" s="34">
        <v>8</v>
      </c>
      <c r="G27" s="35">
        <v>5</v>
      </c>
      <c r="H27" s="37">
        <v>6</v>
      </c>
      <c r="I27" s="39">
        <v>40</v>
      </c>
      <c r="J27" s="40">
        <f t="shared" si="0"/>
        <v>6</v>
      </c>
      <c r="K27" s="36">
        <v>4</v>
      </c>
      <c r="L27" s="41">
        <f t="shared" si="1"/>
        <v>6.4</v>
      </c>
      <c r="M27" s="58">
        <v>25</v>
      </c>
      <c r="N27" s="25">
        <v>9</v>
      </c>
      <c r="O27" s="25">
        <v>7</v>
      </c>
      <c r="P27" s="25">
        <v>8</v>
      </c>
      <c r="Q27" s="25">
        <v>6</v>
      </c>
      <c r="R27" s="25">
        <v>10</v>
      </c>
      <c r="S27" s="53">
        <f t="shared" si="2"/>
        <v>40</v>
      </c>
      <c r="T27"/>
      <c r="U27"/>
      <c r="V27"/>
      <c r="W27"/>
      <c r="X27"/>
      <c r="Y27"/>
      <c r="Z27"/>
      <c r="AA27"/>
    </row>
    <row r="28" spans="1:27" x14ac:dyDescent="0.2">
      <c r="A28" s="8" t="s">
        <v>351</v>
      </c>
      <c r="B28" s="12"/>
      <c r="C28" s="13" t="s">
        <v>352</v>
      </c>
      <c r="D28" s="32">
        <v>14</v>
      </c>
      <c r="E28" s="33">
        <v>7</v>
      </c>
      <c r="F28" s="34">
        <v>8</v>
      </c>
      <c r="G28" s="35">
        <v>5</v>
      </c>
      <c r="H28" s="37">
        <v>7</v>
      </c>
      <c r="I28" s="39">
        <v>16</v>
      </c>
      <c r="J28" s="40">
        <f t="shared" si="0"/>
        <v>4.8999999999999995</v>
      </c>
      <c r="K28" s="36">
        <v>10</v>
      </c>
      <c r="L28" s="41">
        <f t="shared" si="1"/>
        <v>5.8999999999999995</v>
      </c>
      <c r="M28" s="58">
        <v>26</v>
      </c>
      <c r="N28" s="25">
        <v>6</v>
      </c>
      <c r="O28" s="25">
        <v>5</v>
      </c>
      <c r="P28" s="25">
        <v>0</v>
      </c>
      <c r="Q28" s="25">
        <v>0</v>
      </c>
      <c r="R28" s="25">
        <v>5</v>
      </c>
      <c r="S28" s="53">
        <f t="shared" si="2"/>
        <v>16</v>
      </c>
      <c r="T28"/>
      <c r="U28"/>
      <c r="V28"/>
      <c r="W28"/>
      <c r="X28"/>
      <c r="Y28"/>
      <c r="Z28"/>
      <c r="AA28"/>
    </row>
    <row r="29" spans="1:27" x14ac:dyDescent="0.2">
      <c r="A29" s="8" t="s">
        <v>353</v>
      </c>
      <c r="B29" s="12"/>
      <c r="C29" s="45" t="s">
        <v>354</v>
      </c>
      <c r="D29" s="32">
        <v>0</v>
      </c>
      <c r="E29" s="33">
        <v>0</v>
      </c>
      <c r="F29" s="34">
        <v>0</v>
      </c>
      <c r="G29" s="35">
        <v>0</v>
      </c>
      <c r="H29" s="37">
        <v>0</v>
      </c>
      <c r="I29" s="39">
        <v>0</v>
      </c>
      <c r="J29" s="40">
        <f t="shared" si="0"/>
        <v>0</v>
      </c>
      <c r="K29" s="36">
        <v>0</v>
      </c>
      <c r="L29" s="41">
        <f t="shared" si="1"/>
        <v>0</v>
      </c>
      <c r="M29" s="58">
        <v>27</v>
      </c>
      <c r="N29" s="25">
        <v>0</v>
      </c>
      <c r="O29" s="25">
        <v>0</v>
      </c>
      <c r="P29" s="25">
        <v>0</v>
      </c>
      <c r="Q29" s="25">
        <v>0</v>
      </c>
      <c r="R29" s="25">
        <v>0</v>
      </c>
      <c r="S29" s="53">
        <f t="shared" si="2"/>
        <v>0</v>
      </c>
      <c r="T29"/>
      <c r="U29"/>
      <c r="V29"/>
      <c r="W29"/>
      <c r="X29"/>
      <c r="Y29"/>
      <c r="Z29"/>
      <c r="AA29"/>
    </row>
    <row r="30" spans="1:27" x14ac:dyDescent="0.2">
      <c r="A30" s="11"/>
      <c r="B30" s="9" t="s">
        <v>355</v>
      </c>
      <c r="C30" s="13" t="s">
        <v>356</v>
      </c>
      <c r="D30" s="32">
        <v>10</v>
      </c>
      <c r="E30" s="33">
        <v>5</v>
      </c>
      <c r="F30" s="34">
        <v>8</v>
      </c>
      <c r="G30" s="35">
        <v>5</v>
      </c>
      <c r="H30" s="37">
        <v>4</v>
      </c>
      <c r="I30" s="39">
        <v>33</v>
      </c>
      <c r="J30" s="40">
        <f t="shared" si="0"/>
        <v>4.8499999999999996</v>
      </c>
      <c r="K30" s="36">
        <v>0</v>
      </c>
      <c r="L30" s="41">
        <f t="shared" si="1"/>
        <v>4.8499999999999996</v>
      </c>
      <c r="M30" s="58">
        <v>28</v>
      </c>
      <c r="N30" s="25">
        <v>6</v>
      </c>
      <c r="O30" s="25">
        <v>9</v>
      </c>
      <c r="P30" s="25">
        <v>8</v>
      </c>
      <c r="Q30" s="25">
        <v>5</v>
      </c>
      <c r="R30" s="25">
        <v>5</v>
      </c>
      <c r="S30" s="53">
        <f t="shared" si="2"/>
        <v>33</v>
      </c>
      <c r="T30"/>
      <c r="U30"/>
      <c r="V30"/>
      <c r="W30"/>
      <c r="X30"/>
      <c r="Y30"/>
      <c r="Z30"/>
      <c r="AA30"/>
    </row>
    <row r="31" spans="1:27" x14ac:dyDescent="0.2">
      <c r="A31" s="11"/>
      <c r="B31" s="9" t="s">
        <v>357</v>
      </c>
      <c r="C31" s="9" t="s">
        <v>358</v>
      </c>
      <c r="D31" s="32">
        <v>10</v>
      </c>
      <c r="E31" s="33">
        <v>6</v>
      </c>
      <c r="F31" s="34">
        <v>8</v>
      </c>
      <c r="G31" s="35">
        <v>5</v>
      </c>
      <c r="H31" s="37">
        <v>8</v>
      </c>
      <c r="I31" s="39">
        <v>48</v>
      </c>
      <c r="J31" s="40">
        <f t="shared" si="0"/>
        <v>6.1</v>
      </c>
      <c r="K31" s="36">
        <v>3</v>
      </c>
      <c r="L31" s="41">
        <f t="shared" si="1"/>
        <v>6.3999999999999995</v>
      </c>
      <c r="M31" s="58">
        <v>29</v>
      </c>
      <c r="N31" s="25">
        <v>9</v>
      </c>
      <c r="O31" s="25">
        <v>9</v>
      </c>
      <c r="P31" s="25">
        <v>10</v>
      </c>
      <c r="Q31" s="25">
        <v>10</v>
      </c>
      <c r="R31" s="25">
        <v>10</v>
      </c>
      <c r="S31" s="53">
        <f t="shared" si="2"/>
        <v>48</v>
      </c>
      <c r="T31"/>
      <c r="U31"/>
      <c r="V31"/>
      <c r="W31"/>
      <c r="X31"/>
      <c r="Y31"/>
      <c r="Z31"/>
      <c r="AA31"/>
    </row>
    <row r="32" spans="1:27" x14ac:dyDescent="0.2">
      <c r="A32" s="11"/>
      <c r="B32" s="12" t="s">
        <v>359</v>
      </c>
      <c r="C32" s="12" t="s">
        <v>360</v>
      </c>
      <c r="D32" s="32">
        <v>14</v>
      </c>
      <c r="E32" s="33">
        <v>8</v>
      </c>
      <c r="F32" s="34">
        <v>10</v>
      </c>
      <c r="G32" s="35">
        <v>5</v>
      </c>
      <c r="H32" s="37">
        <v>10</v>
      </c>
      <c r="I32" s="39">
        <v>50</v>
      </c>
      <c r="J32" s="40">
        <f t="shared" si="0"/>
        <v>7.2</v>
      </c>
      <c r="K32" s="36">
        <v>9</v>
      </c>
      <c r="L32" s="41">
        <f t="shared" si="1"/>
        <v>8.1</v>
      </c>
      <c r="M32" s="58">
        <v>30</v>
      </c>
      <c r="N32" s="25">
        <v>10</v>
      </c>
      <c r="O32" s="25">
        <v>10</v>
      </c>
      <c r="P32" s="25">
        <v>10</v>
      </c>
      <c r="Q32" s="25">
        <v>10</v>
      </c>
      <c r="R32" s="25">
        <v>10</v>
      </c>
      <c r="S32" s="53">
        <f t="shared" si="2"/>
        <v>50</v>
      </c>
      <c r="T32"/>
      <c r="U32"/>
      <c r="V32"/>
      <c r="W32"/>
      <c r="X32"/>
      <c r="Y32"/>
      <c r="Z32"/>
      <c r="AA32"/>
    </row>
    <row r="33" spans="1:27" x14ac:dyDescent="0.2">
      <c r="A33" s="8" t="s">
        <v>361</v>
      </c>
      <c r="B33" s="12"/>
      <c r="C33" s="9" t="s">
        <v>362</v>
      </c>
      <c r="D33" s="32">
        <v>8</v>
      </c>
      <c r="E33" s="33">
        <v>6</v>
      </c>
      <c r="F33" s="34">
        <v>8</v>
      </c>
      <c r="G33" s="35">
        <v>5</v>
      </c>
      <c r="H33" s="37">
        <v>7.5</v>
      </c>
      <c r="I33" s="39">
        <v>23</v>
      </c>
      <c r="J33" s="40">
        <f t="shared" si="0"/>
        <v>4.5999999999999996</v>
      </c>
      <c r="K33" s="36">
        <v>2</v>
      </c>
      <c r="L33" s="41">
        <f t="shared" si="1"/>
        <v>4.8</v>
      </c>
      <c r="M33" s="58">
        <v>31</v>
      </c>
      <c r="N33" s="25">
        <v>6</v>
      </c>
      <c r="O33" s="25">
        <v>0</v>
      </c>
      <c r="P33" s="25">
        <v>0</v>
      </c>
      <c r="Q33" s="25">
        <v>7</v>
      </c>
      <c r="R33" s="25">
        <v>10</v>
      </c>
      <c r="S33" s="53">
        <f t="shared" si="2"/>
        <v>23</v>
      </c>
      <c r="T33"/>
      <c r="U33"/>
      <c r="V33"/>
      <c r="W33"/>
      <c r="X33"/>
      <c r="Y33"/>
      <c r="Z33"/>
      <c r="AA33"/>
    </row>
    <row r="34" spans="1:27" x14ac:dyDescent="0.2">
      <c r="A34" s="11"/>
      <c r="B34" s="12" t="s">
        <v>363</v>
      </c>
      <c r="C34" s="12" t="s">
        <v>364</v>
      </c>
      <c r="D34" s="32">
        <v>8</v>
      </c>
      <c r="E34" s="33">
        <v>7</v>
      </c>
      <c r="F34" s="34">
        <v>8</v>
      </c>
      <c r="G34" s="35">
        <v>5</v>
      </c>
      <c r="H34" s="37">
        <v>5</v>
      </c>
      <c r="I34" s="39">
        <v>45</v>
      </c>
      <c r="J34" s="40">
        <f t="shared" si="0"/>
        <v>5.55</v>
      </c>
      <c r="K34" s="36">
        <v>6</v>
      </c>
      <c r="L34" s="41">
        <f t="shared" si="1"/>
        <v>6.1499999999999995</v>
      </c>
      <c r="M34" s="58">
        <v>32</v>
      </c>
      <c r="N34" s="25">
        <v>10</v>
      </c>
      <c r="O34" s="25">
        <v>8</v>
      </c>
      <c r="P34" s="25">
        <v>8</v>
      </c>
      <c r="Q34" s="25">
        <v>9</v>
      </c>
      <c r="R34" s="25">
        <v>10</v>
      </c>
      <c r="S34" s="53">
        <f t="shared" si="2"/>
        <v>45</v>
      </c>
      <c r="T34"/>
      <c r="U34"/>
      <c r="V34"/>
      <c r="W34"/>
      <c r="X34"/>
      <c r="Y34"/>
      <c r="Z34"/>
      <c r="AA34"/>
    </row>
    <row r="35" spans="1:27" x14ac:dyDescent="0.2">
      <c r="A35" s="11"/>
      <c r="B35" s="12" t="s">
        <v>365</v>
      </c>
      <c r="C35" s="12" t="s">
        <v>366</v>
      </c>
      <c r="D35" s="32">
        <v>10</v>
      </c>
      <c r="E35" s="33">
        <v>7</v>
      </c>
      <c r="F35" s="34">
        <v>8</v>
      </c>
      <c r="G35" s="35">
        <v>5</v>
      </c>
      <c r="H35" s="37">
        <v>6</v>
      </c>
      <c r="I35" s="39">
        <v>44</v>
      </c>
      <c r="J35" s="40">
        <f t="shared" si="0"/>
        <v>5.8000000000000007</v>
      </c>
      <c r="K35" s="36">
        <v>7</v>
      </c>
      <c r="L35" s="41">
        <f t="shared" si="1"/>
        <v>6.5000000000000009</v>
      </c>
      <c r="M35" s="58">
        <v>33</v>
      </c>
      <c r="N35" s="25">
        <v>10</v>
      </c>
      <c r="O35" s="25">
        <v>9</v>
      </c>
      <c r="P35" s="25">
        <v>5</v>
      </c>
      <c r="Q35" s="25">
        <v>10</v>
      </c>
      <c r="R35" s="25">
        <v>10</v>
      </c>
      <c r="S35" s="53">
        <f t="shared" si="2"/>
        <v>44</v>
      </c>
      <c r="T35"/>
      <c r="U35"/>
      <c r="V35"/>
      <c r="W35"/>
      <c r="X35"/>
      <c r="Y35"/>
      <c r="Z35"/>
      <c r="AA35"/>
    </row>
    <row r="36" spans="1:27" x14ac:dyDescent="0.2">
      <c r="A36" s="11"/>
      <c r="B36" s="9" t="s">
        <v>367</v>
      </c>
      <c r="C36" s="9" t="s">
        <v>368</v>
      </c>
      <c r="D36" s="32">
        <v>7</v>
      </c>
      <c r="E36" s="33">
        <v>5</v>
      </c>
      <c r="F36" s="34">
        <v>8</v>
      </c>
      <c r="G36" s="35">
        <v>0</v>
      </c>
      <c r="H36" s="37">
        <v>6</v>
      </c>
      <c r="I36" s="39">
        <v>33</v>
      </c>
      <c r="J36" s="40">
        <f t="shared" si="0"/>
        <v>4.25</v>
      </c>
      <c r="K36" s="36">
        <v>0</v>
      </c>
      <c r="L36" s="41">
        <f t="shared" si="1"/>
        <v>4.25</v>
      </c>
      <c r="M36" s="58">
        <v>34</v>
      </c>
      <c r="N36" s="25">
        <v>8</v>
      </c>
      <c r="O36" s="25">
        <v>7</v>
      </c>
      <c r="P36" s="25">
        <v>5</v>
      </c>
      <c r="Q36" s="25">
        <v>5</v>
      </c>
      <c r="R36" s="25">
        <v>8</v>
      </c>
      <c r="S36" s="53">
        <f t="shared" si="2"/>
        <v>33</v>
      </c>
      <c r="T36"/>
      <c r="U36"/>
      <c r="V36"/>
      <c r="W36"/>
      <c r="X36"/>
      <c r="Y36"/>
      <c r="Z36"/>
      <c r="AA36"/>
    </row>
    <row r="37" spans="1:27" x14ac:dyDescent="0.2">
      <c r="A37" s="8" t="s">
        <v>369</v>
      </c>
      <c r="B37" s="12"/>
      <c r="C37" s="9" t="s">
        <v>370</v>
      </c>
      <c r="D37" s="32">
        <v>9</v>
      </c>
      <c r="E37" s="33">
        <v>7</v>
      </c>
      <c r="F37" s="34">
        <v>10</v>
      </c>
      <c r="G37" s="35">
        <v>5</v>
      </c>
      <c r="H37" s="37">
        <v>9</v>
      </c>
      <c r="I37" s="39">
        <v>41</v>
      </c>
      <c r="J37" s="40">
        <f t="shared" si="0"/>
        <v>6.05</v>
      </c>
      <c r="K37" s="36">
        <v>2</v>
      </c>
      <c r="L37" s="41">
        <f t="shared" si="1"/>
        <v>6.25</v>
      </c>
      <c r="M37" s="58">
        <v>35</v>
      </c>
      <c r="N37" s="25">
        <v>8</v>
      </c>
      <c r="O37" s="25">
        <v>8</v>
      </c>
      <c r="P37" s="25">
        <v>10</v>
      </c>
      <c r="Q37" s="25">
        <v>10</v>
      </c>
      <c r="R37" s="25">
        <v>5</v>
      </c>
      <c r="S37" s="53">
        <f t="shared" si="2"/>
        <v>41</v>
      </c>
      <c r="T37"/>
      <c r="U37"/>
      <c r="V37"/>
      <c r="W37"/>
      <c r="X37"/>
      <c r="Y37"/>
      <c r="Z37"/>
      <c r="AA37"/>
    </row>
    <row r="38" spans="1:27" x14ac:dyDescent="0.2">
      <c r="A38" s="11"/>
      <c r="B38" s="9" t="s">
        <v>371</v>
      </c>
      <c r="C38" s="9" t="s">
        <v>372</v>
      </c>
      <c r="D38" s="32">
        <v>10</v>
      </c>
      <c r="E38" s="33">
        <v>6</v>
      </c>
      <c r="F38" s="34">
        <v>8</v>
      </c>
      <c r="G38" s="35">
        <v>5</v>
      </c>
      <c r="H38" s="37">
        <v>8</v>
      </c>
      <c r="I38" s="39">
        <v>42</v>
      </c>
      <c r="J38" s="40">
        <f t="shared" si="0"/>
        <v>5.8000000000000007</v>
      </c>
      <c r="K38" s="36">
        <v>3</v>
      </c>
      <c r="L38" s="41">
        <f t="shared" si="1"/>
        <v>6.1000000000000005</v>
      </c>
      <c r="M38" s="58">
        <v>36</v>
      </c>
      <c r="N38" s="25">
        <v>6</v>
      </c>
      <c r="O38" s="25">
        <v>8</v>
      </c>
      <c r="P38" s="25">
        <v>8</v>
      </c>
      <c r="Q38" s="25">
        <v>10</v>
      </c>
      <c r="R38" s="25">
        <v>10</v>
      </c>
      <c r="S38" s="53">
        <f t="shared" si="2"/>
        <v>42</v>
      </c>
      <c r="T38"/>
      <c r="U38"/>
      <c r="V38"/>
      <c r="W38"/>
      <c r="X38"/>
      <c r="Y38"/>
      <c r="Z38"/>
      <c r="AA38"/>
    </row>
    <row r="39" spans="1:27" x14ac:dyDescent="0.2">
      <c r="A39" s="11"/>
      <c r="B39" s="9" t="s">
        <v>373</v>
      </c>
      <c r="C39" s="9" t="s">
        <v>374</v>
      </c>
      <c r="D39" s="32">
        <v>8</v>
      </c>
      <c r="E39" s="33">
        <v>7</v>
      </c>
      <c r="F39" s="34">
        <v>8</v>
      </c>
      <c r="G39" s="35">
        <v>5</v>
      </c>
      <c r="H39" s="37">
        <v>8</v>
      </c>
      <c r="I39" s="39">
        <v>43</v>
      </c>
      <c r="J39" s="40">
        <f t="shared" si="0"/>
        <v>5.75</v>
      </c>
      <c r="K39" s="36">
        <v>3</v>
      </c>
      <c r="L39" s="41">
        <f t="shared" si="1"/>
        <v>6.05</v>
      </c>
      <c r="M39" s="58">
        <v>37</v>
      </c>
      <c r="N39" s="25">
        <v>9</v>
      </c>
      <c r="O39" s="25">
        <v>9</v>
      </c>
      <c r="P39" s="25">
        <v>5</v>
      </c>
      <c r="Q39" s="25">
        <v>10</v>
      </c>
      <c r="R39" s="25">
        <v>10</v>
      </c>
      <c r="S39" s="53">
        <f t="shared" si="2"/>
        <v>43</v>
      </c>
      <c r="T39"/>
      <c r="U39"/>
      <c r="V39"/>
      <c r="W39"/>
      <c r="X39"/>
      <c r="Y39"/>
      <c r="Z39"/>
      <c r="AA39"/>
    </row>
    <row r="40" spans="1:27" x14ac:dyDescent="0.2">
      <c r="A40" s="14" t="s">
        <v>375</v>
      </c>
      <c r="B40" s="12"/>
      <c r="C40" s="9" t="s">
        <v>376</v>
      </c>
      <c r="D40" s="32">
        <v>10</v>
      </c>
      <c r="E40" s="33">
        <v>5</v>
      </c>
      <c r="F40" s="34">
        <v>8</v>
      </c>
      <c r="G40" s="35">
        <v>5</v>
      </c>
      <c r="H40" s="37">
        <v>3</v>
      </c>
      <c r="I40" s="39">
        <v>39</v>
      </c>
      <c r="J40" s="40">
        <f t="shared" si="0"/>
        <v>5.05</v>
      </c>
      <c r="K40" s="36">
        <v>0</v>
      </c>
      <c r="L40" s="41">
        <f t="shared" si="1"/>
        <v>5.05</v>
      </c>
      <c r="M40" s="58">
        <v>38</v>
      </c>
      <c r="N40" s="25">
        <v>9</v>
      </c>
      <c r="O40" s="25">
        <v>9</v>
      </c>
      <c r="P40" s="25">
        <v>5</v>
      </c>
      <c r="Q40" s="25">
        <v>6</v>
      </c>
      <c r="R40" s="25">
        <v>10</v>
      </c>
      <c r="S40" s="53">
        <f t="shared" si="2"/>
        <v>39</v>
      </c>
      <c r="T40"/>
      <c r="U40"/>
      <c r="V40"/>
      <c r="W40"/>
      <c r="X40"/>
      <c r="Y40"/>
      <c r="Z40"/>
      <c r="AA40"/>
    </row>
    <row r="41" spans="1:27" x14ac:dyDescent="0.2">
      <c r="A41" s="11"/>
      <c r="B41" s="9" t="s">
        <v>377</v>
      </c>
      <c r="C41" s="9" t="s">
        <v>378</v>
      </c>
      <c r="D41" s="32">
        <v>10</v>
      </c>
      <c r="E41" s="33">
        <v>7</v>
      </c>
      <c r="F41" s="34">
        <v>8</v>
      </c>
      <c r="G41" s="35">
        <v>5</v>
      </c>
      <c r="H41" s="37">
        <v>7</v>
      </c>
      <c r="I41" s="39">
        <v>49</v>
      </c>
      <c r="J41" s="40">
        <f t="shared" si="0"/>
        <v>6.15</v>
      </c>
      <c r="K41" s="36">
        <v>7</v>
      </c>
      <c r="L41" s="41">
        <f t="shared" si="1"/>
        <v>6.8500000000000005</v>
      </c>
      <c r="M41" s="58">
        <v>39</v>
      </c>
      <c r="N41" s="25">
        <v>9</v>
      </c>
      <c r="O41" s="25">
        <v>10</v>
      </c>
      <c r="P41" s="25">
        <v>10</v>
      </c>
      <c r="Q41" s="25">
        <v>10</v>
      </c>
      <c r="R41" s="25">
        <v>10</v>
      </c>
      <c r="S41" s="53">
        <f t="shared" si="2"/>
        <v>49</v>
      </c>
      <c r="T41"/>
      <c r="U41"/>
      <c r="V41"/>
      <c r="W41"/>
      <c r="X41"/>
      <c r="Y41"/>
      <c r="Z41"/>
      <c r="AA41"/>
    </row>
    <row r="42" spans="1:27" x14ac:dyDescent="0.2">
      <c r="A42" s="11"/>
      <c r="B42" s="12" t="s">
        <v>379</v>
      </c>
      <c r="C42" s="12" t="s">
        <v>380</v>
      </c>
      <c r="D42" s="32">
        <v>14</v>
      </c>
      <c r="E42" s="33">
        <v>7</v>
      </c>
      <c r="F42" s="34">
        <v>8</v>
      </c>
      <c r="G42" s="35">
        <v>5</v>
      </c>
      <c r="H42" s="37">
        <v>8</v>
      </c>
      <c r="I42" s="39">
        <v>48</v>
      </c>
      <c r="J42" s="40">
        <f t="shared" si="0"/>
        <v>6.6</v>
      </c>
      <c r="K42" s="36">
        <v>6</v>
      </c>
      <c r="L42" s="41">
        <f t="shared" si="1"/>
        <v>7.1999999999999993</v>
      </c>
      <c r="M42" s="58">
        <v>40</v>
      </c>
      <c r="N42" s="25">
        <v>9</v>
      </c>
      <c r="O42" s="25">
        <v>9</v>
      </c>
      <c r="P42" s="25">
        <v>10</v>
      </c>
      <c r="Q42" s="25">
        <v>10</v>
      </c>
      <c r="R42" s="25">
        <v>10</v>
      </c>
      <c r="S42" s="53">
        <f t="shared" si="2"/>
        <v>48</v>
      </c>
      <c r="T42"/>
      <c r="U42"/>
      <c r="V42"/>
      <c r="W42"/>
      <c r="X42"/>
      <c r="Y42"/>
      <c r="Z42"/>
      <c r="AA42"/>
    </row>
    <row r="43" spans="1:27" x14ac:dyDescent="0.2">
      <c r="A43" s="11" t="s">
        <v>381</v>
      </c>
      <c r="B43" s="12"/>
      <c r="C43" s="12" t="s">
        <v>382</v>
      </c>
      <c r="D43" s="32">
        <v>14</v>
      </c>
      <c r="E43" s="33">
        <v>5</v>
      </c>
      <c r="F43" s="34">
        <v>8</v>
      </c>
      <c r="G43" s="35">
        <v>5</v>
      </c>
      <c r="H43" s="37">
        <v>8</v>
      </c>
      <c r="I43" s="39">
        <v>46</v>
      </c>
      <c r="J43" s="40">
        <f t="shared" si="0"/>
        <v>6.3</v>
      </c>
      <c r="K43" s="36">
        <v>7</v>
      </c>
      <c r="L43" s="41">
        <f t="shared" si="1"/>
        <v>7</v>
      </c>
      <c r="M43" s="58">
        <v>41</v>
      </c>
      <c r="N43" s="25">
        <v>10</v>
      </c>
      <c r="O43" s="25">
        <v>7</v>
      </c>
      <c r="P43" s="25">
        <v>10</v>
      </c>
      <c r="Q43" s="25">
        <v>9</v>
      </c>
      <c r="R43" s="25">
        <v>10</v>
      </c>
      <c r="S43" s="53">
        <f t="shared" si="2"/>
        <v>46</v>
      </c>
      <c r="T43"/>
      <c r="U43"/>
      <c r="V43"/>
      <c r="W43"/>
      <c r="X43"/>
      <c r="Y43"/>
      <c r="Z43"/>
      <c r="AA43"/>
    </row>
    <row r="44" spans="1:27" x14ac:dyDescent="0.2">
      <c r="A44" s="8" t="s">
        <v>383</v>
      </c>
      <c r="B44" s="12"/>
      <c r="C44" s="9" t="s">
        <v>384</v>
      </c>
      <c r="D44" s="32">
        <v>0</v>
      </c>
      <c r="E44" s="33">
        <v>7</v>
      </c>
      <c r="F44" s="34">
        <v>10</v>
      </c>
      <c r="G44" s="35">
        <v>5</v>
      </c>
      <c r="H44" s="37">
        <v>8</v>
      </c>
      <c r="I44" s="39">
        <v>44</v>
      </c>
      <c r="J44" s="40">
        <f t="shared" si="0"/>
        <v>5.2</v>
      </c>
      <c r="K44" s="36">
        <v>3</v>
      </c>
      <c r="L44" s="41">
        <f t="shared" si="1"/>
        <v>5.5</v>
      </c>
      <c r="M44" s="58">
        <v>42</v>
      </c>
      <c r="N44" s="25">
        <v>8</v>
      </c>
      <c r="O44" s="25">
        <v>8</v>
      </c>
      <c r="P44" s="25">
        <v>8</v>
      </c>
      <c r="Q44" s="25">
        <v>10</v>
      </c>
      <c r="R44" s="25">
        <v>10</v>
      </c>
      <c r="S44" s="53">
        <f t="shared" si="2"/>
        <v>44</v>
      </c>
      <c r="T44"/>
      <c r="U44"/>
      <c r="V44"/>
      <c r="W44"/>
      <c r="X44"/>
      <c r="Y44"/>
      <c r="Z44"/>
      <c r="AA44"/>
    </row>
    <row r="45" spans="1:27" x14ac:dyDescent="0.2">
      <c r="A45" s="15" t="s">
        <v>385</v>
      </c>
      <c r="B45" s="12"/>
      <c r="C45" s="12" t="s">
        <v>386</v>
      </c>
      <c r="D45" s="32">
        <v>10</v>
      </c>
      <c r="E45" s="33">
        <v>6</v>
      </c>
      <c r="F45" s="34">
        <v>8</v>
      </c>
      <c r="G45" s="35">
        <v>5</v>
      </c>
      <c r="H45" s="37">
        <v>6</v>
      </c>
      <c r="I45" s="39">
        <v>41</v>
      </c>
      <c r="J45" s="40">
        <f t="shared" si="0"/>
        <v>5.5500000000000007</v>
      </c>
      <c r="K45" s="36">
        <v>2</v>
      </c>
      <c r="L45" s="41">
        <f t="shared" si="1"/>
        <v>5.7500000000000009</v>
      </c>
      <c r="M45" s="58">
        <v>43</v>
      </c>
      <c r="N45" s="25">
        <v>10</v>
      </c>
      <c r="O45" s="25">
        <v>8</v>
      </c>
      <c r="P45" s="25">
        <v>8</v>
      </c>
      <c r="Q45" s="25">
        <v>5</v>
      </c>
      <c r="R45" s="25">
        <v>10</v>
      </c>
      <c r="S45" s="53">
        <f t="shared" si="2"/>
        <v>41</v>
      </c>
      <c r="T45"/>
      <c r="U45"/>
      <c r="V45"/>
      <c r="W45"/>
      <c r="X45"/>
      <c r="Y45"/>
      <c r="Z45"/>
      <c r="AA45"/>
    </row>
    <row r="46" spans="1:27" x14ac:dyDescent="0.2">
      <c r="A46" s="11"/>
      <c r="B46" s="9" t="s">
        <v>387</v>
      </c>
      <c r="C46" s="9" t="s">
        <v>388</v>
      </c>
      <c r="D46" s="32">
        <v>17</v>
      </c>
      <c r="E46" s="33">
        <v>6</v>
      </c>
      <c r="F46" s="34">
        <v>0</v>
      </c>
      <c r="G46" s="35">
        <v>5</v>
      </c>
      <c r="H46" s="37">
        <v>7</v>
      </c>
      <c r="I46" s="39">
        <v>38</v>
      </c>
      <c r="J46" s="40">
        <f t="shared" si="0"/>
        <v>5.4</v>
      </c>
      <c r="K46" s="36">
        <v>20</v>
      </c>
      <c r="L46" s="41">
        <f t="shared" si="1"/>
        <v>7.4</v>
      </c>
      <c r="M46" s="58">
        <v>44</v>
      </c>
      <c r="N46" s="25">
        <v>10</v>
      </c>
      <c r="O46" s="25">
        <v>6</v>
      </c>
      <c r="P46" s="25">
        <v>10</v>
      </c>
      <c r="Q46" s="25">
        <v>2</v>
      </c>
      <c r="R46" s="25">
        <v>10</v>
      </c>
      <c r="S46" s="53">
        <f t="shared" si="2"/>
        <v>38</v>
      </c>
      <c r="T46"/>
      <c r="U46"/>
      <c r="V46"/>
      <c r="W46"/>
      <c r="X46"/>
      <c r="Y46"/>
      <c r="Z46"/>
      <c r="AA46"/>
    </row>
    <row r="47" spans="1:27" x14ac:dyDescent="0.2">
      <c r="A47" s="15" t="s">
        <v>389</v>
      </c>
      <c r="B47" s="12"/>
      <c r="C47" s="12" t="s">
        <v>390</v>
      </c>
      <c r="D47" s="32">
        <v>0</v>
      </c>
      <c r="E47" s="33">
        <v>7</v>
      </c>
      <c r="F47" s="34">
        <v>0</v>
      </c>
      <c r="G47" s="35">
        <v>0</v>
      </c>
      <c r="H47" s="37">
        <v>5</v>
      </c>
      <c r="I47" s="39">
        <v>18</v>
      </c>
      <c r="J47" s="40">
        <f t="shared" si="0"/>
        <v>2.1</v>
      </c>
      <c r="K47" s="36">
        <v>0</v>
      </c>
      <c r="L47" s="41">
        <f t="shared" si="1"/>
        <v>2.1</v>
      </c>
      <c r="M47" s="58">
        <v>45</v>
      </c>
      <c r="N47" s="25">
        <v>2</v>
      </c>
      <c r="O47" s="25">
        <v>8</v>
      </c>
      <c r="P47" s="25">
        <v>3</v>
      </c>
      <c r="Q47" s="25">
        <v>5</v>
      </c>
      <c r="R47" s="25">
        <v>0</v>
      </c>
      <c r="S47" s="53">
        <f t="shared" si="2"/>
        <v>18</v>
      </c>
      <c r="T47"/>
      <c r="U47"/>
      <c r="V47"/>
      <c r="W47"/>
      <c r="X47"/>
      <c r="Y47"/>
      <c r="Z47"/>
      <c r="AA47"/>
    </row>
    <row r="48" spans="1:27" x14ac:dyDescent="0.2">
      <c r="A48" s="14" t="s">
        <v>391</v>
      </c>
      <c r="B48" s="12"/>
      <c r="C48" s="9" t="s">
        <v>392</v>
      </c>
      <c r="D48" s="32">
        <v>10</v>
      </c>
      <c r="E48" s="33">
        <v>7</v>
      </c>
      <c r="F48" s="34">
        <v>10</v>
      </c>
      <c r="G48" s="35">
        <v>0</v>
      </c>
      <c r="H48" s="37">
        <v>7</v>
      </c>
      <c r="I48" s="39">
        <v>37</v>
      </c>
      <c r="J48" s="40">
        <f t="shared" si="0"/>
        <v>5.25</v>
      </c>
      <c r="K48" s="36">
        <v>0</v>
      </c>
      <c r="L48" s="41">
        <f t="shared" si="1"/>
        <v>5.25</v>
      </c>
      <c r="M48" s="58">
        <v>46</v>
      </c>
      <c r="N48" s="25">
        <v>8</v>
      </c>
      <c r="O48" s="25">
        <v>8</v>
      </c>
      <c r="P48" s="25">
        <v>8</v>
      </c>
      <c r="Q48" s="25">
        <v>8</v>
      </c>
      <c r="R48" s="25">
        <v>5</v>
      </c>
      <c r="S48" s="53">
        <f t="shared" si="2"/>
        <v>37</v>
      </c>
      <c r="T48"/>
      <c r="U48"/>
      <c r="V48"/>
      <c r="W48"/>
      <c r="X48"/>
      <c r="Y48"/>
      <c r="Z48"/>
      <c r="AA48"/>
    </row>
    <row r="49" spans="1:27" x14ac:dyDescent="0.2">
      <c r="A49" s="11"/>
      <c r="B49" s="9" t="s">
        <v>393</v>
      </c>
      <c r="C49" s="9" t="s">
        <v>394</v>
      </c>
      <c r="D49" s="32">
        <v>10</v>
      </c>
      <c r="E49" s="33">
        <v>8</v>
      </c>
      <c r="F49" s="34">
        <v>8</v>
      </c>
      <c r="G49" s="35">
        <v>5</v>
      </c>
      <c r="H49" s="37">
        <v>9</v>
      </c>
      <c r="I49" s="39">
        <v>46</v>
      </c>
      <c r="J49" s="40">
        <f t="shared" si="0"/>
        <v>6.3</v>
      </c>
      <c r="K49" s="36">
        <v>20</v>
      </c>
      <c r="L49" s="41">
        <f t="shared" si="1"/>
        <v>8.3000000000000007</v>
      </c>
      <c r="M49" s="58">
        <v>47</v>
      </c>
      <c r="N49" s="25">
        <v>10</v>
      </c>
      <c r="O49" s="25">
        <v>10</v>
      </c>
      <c r="P49" s="25">
        <v>10</v>
      </c>
      <c r="Q49" s="25">
        <v>6</v>
      </c>
      <c r="R49" s="25">
        <v>10</v>
      </c>
      <c r="S49" s="53">
        <f t="shared" si="2"/>
        <v>46</v>
      </c>
      <c r="T49"/>
      <c r="U49"/>
      <c r="V49"/>
      <c r="W49"/>
      <c r="X49"/>
      <c r="Y49"/>
      <c r="Z49"/>
      <c r="AA49"/>
    </row>
    <row r="50" spans="1:27" x14ac:dyDescent="0.2">
      <c r="A50" s="11"/>
      <c r="B50" s="9" t="s">
        <v>395</v>
      </c>
      <c r="C50" s="9" t="s">
        <v>396</v>
      </c>
      <c r="D50" s="32">
        <v>10</v>
      </c>
      <c r="E50" s="33">
        <v>6</v>
      </c>
      <c r="F50" s="34">
        <v>10</v>
      </c>
      <c r="G50" s="35">
        <v>5</v>
      </c>
      <c r="H50" s="37">
        <v>6</v>
      </c>
      <c r="I50" s="39">
        <v>48</v>
      </c>
      <c r="J50" s="40">
        <f t="shared" si="0"/>
        <v>6.1</v>
      </c>
      <c r="K50" s="36">
        <v>0</v>
      </c>
      <c r="L50" s="41">
        <f t="shared" si="1"/>
        <v>6.1</v>
      </c>
      <c r="M50" s="58">
        <v>48</v>
      </c>
      <c r="N50" s="25">
        <v>9</v>
      </c>
      <c r="O50" s="25">
        <v>9</v>
      </c>
      <c r="P50" s="25">
        <v>10</v>
      </c>
      <c r="Q50" s="25">
        <v>10</v>
      </c>
      <c r="R50" s="25">
        <v>10</v>
      </c>
      <c r="S50" s="53">
        <f t="shared" si="2"/>
        <v>48</v>
      </c>
      <c r="T50"/>
      <c r="U50"/>
      <c r="V50"/>
      <c r="W50"/>
      <c r="X50"/>
      <c r="Y50"/>
      <c r="Z50"/>
      <c r="AA50"/>
    </row>
    <row r="51" spans="1:27" x14ac:dyDescent="0.2">
      <c r="A51" s="14" t="s">
        <v>397</v>
      </c>
      <c r="B51" s="12"/>
      <c r="C51" s="45" t="s">
        <v>398</v>
      </c>
      <c r="D51" s="32">
        <v>0</v>
      </c>
      <c r="E51" s="33">
        <v>0</v>
      </c>
      <c r="F51" s="34">
        <v>0</v>
      </c>
      <c r="G51" s="35">
        <v>0</v>
      </c>
      <c r="H51" s="37">
        <v>0</v>
      </c>
      <c r="I51" s="39">
        <v>0</v>
      </c>
      <c r="J51" s="40">
        <f t="shared" si="0"/>
        <v>0</v>
      </c>
      <c r="K51" s="36">
        <v>0</v>
      </c>
      <c r="L51" s="41">
        <f t="shared" si="1"/>
        <v>0</v>
      </c>
      <c r="M51" s="58">
        <v>49</v>
      </c>
      <c r="N51" s="25">
        <v>0</v>
      </c>
      <c r="O51" s="25">
        <v>0</v>
      </c>
      <c r="P51" s="25">
        <v>0</v>
      </c>
      <c r="Q51" s="25">
        <v>0</v>
      </c>
      <c r="R51" s="25">
        <v>0</v>
      </c>
      <c r="S51" s="53">
        <f t="shared" si="2"/>
        <v>0</v>
      </c>
      <c r="T51"/>
      <c r="U51"/>
      <c r="V51"/>
      <c r="W51"/>
      <c r="X51"/>
      <c r="Y51"/>
      <c r="Z51"/>
      <c r="AA51"/>
    </row>
    <row r="52" spans="1:27" x14ac:dyDescent="0.2">
      <c r="A52" s="11"/>
      <c r="B52" s="9" t="s">
        <v>399</v>
      </c>
      <c r="C52" s="9" t="s">
        <v>400</v>
      </c>
      <c r="D52" s="32">
        <v>10</v>
      </c>
      <c r="E52" s="33">
        <v>7</v>
      </c>
      <c r="F52" s="34">
        <v>8</v>
      </c>
      <c r="G52" s="35">
        <v>5</v>
      </c>
      <c r="H52" s="37">
        <v>6</v>
      </c>
      <c r="I52" s="39">
        <v>47</v>
      </c>
      <c r="J52" s="40">
        <f t="shared" si="0"/>
        <v>5.95</v>
      </c>
      <c r="K52" s="36">
        <v>10</v>
      </c>
      <c r="L52" s="41">
        <f t="shared" si="1"/>
        <v>6.95</v>
      </c>
      <c r="M52" s="58">
        <v>50</v>
      </c>
      <c r="N52" s="25">
        <v>9</v>
      </c>
      <c r="O52" s="25">
        <v>8</v>
      </c>
      <c r="P52" s="25">
        <v>10</v>
      </c>
      <c r="Q52" s="25">
        <v>10</v>
      </c>
      <c r="R52" s="25">
        <v>10</v>
      </c>
      <c r="S52" s="53">
        <f t="shared" si="2"/>
        <v>47</v>
      </c>
      <c r="T52"/>
      <c r="U52"/>
      <c r="V52"/>
      <c r="W52"/>
      <c r="X52"/>
      <c r="Y52"/>
      <c r="Z52"/>
      <c r="AA52"/>
    </row>
    <row r="53" spans="1:27" x14ac:dyDescent="0.2">
      <c r="A53" s="11"/>
      <c r="B53" s="9" t="s">
        <v>401</v>
      </c>
      <c r="C53" s="9" t="s">
        <v>402</v>
      </c>
      <c r="D53" s="32">
        <v>14</v>
      </c>
      <c r="E53" s="33">
        <v>8</v>
      </c>
      <c r="F53" s="34">
        <v>10</v>
      </c>
      <c r="G53" s="35">
        <v>5</v>
      </c>
      <c r="H53" s="37">
        <v>9</v>
      </c>
      <c r="I53" s="39">
        <v>50</v>
      </c>
      <c r="J53" s="40">
        <f t="shared" si="0"/>
        <v>7.1000000000000005</v>
      </c>
      <c r="K53" s="36">
        <v>40</v>
      </c>
      <c r="L53" s="41">
        <f t="shared" si="1"/>
        <v>11.100000000000001</v>
      </c>
      <c r="M53" s="58">
        <v>51</v>
      </c>
      <c r="N53" s="25">
        <v>10</v>
      </c>
      <c r="O53" s="25">
        <v>10</v>
      </c>
      <c r="P53" s="25">
        <v>10</v>
      </c>
      <c r="Q53" s="25">
        <v>10</v>
      </c>
      <c r="R53" s="25">
        <v>10</v>
      </c>
      <c r="S53" s="53">
        <f t="shared" si="2"/>
        <v>50</v>
      </c>
      <c r="T53"/>
      <c r="U53"/>
      <c r="V53"/>
      <c r="W53"/>
      <c r="X53"/>
      <c r="Y53"/>
      <c r="Z53"/>
      <c r="AA53"/>
    </row>
    <row r="54" spans="1:27" x14ac:dyDescent="0.2">
      <c r="A54" s="14" t="s">
        <v>403</v>
      </c>
      <c r="B54" s="12"/>
      <c r="C54" s="9" t="s">
        <v>404</v>
      </c>
      <c r="D54" s="32">
        <v>14</v>
      </c>
      <c r="E54" s="33">
        <v>4</v>
      </c>
      <c r="F54" s="34">
        <v>11</v>
      </c>
      <c r="G54" s="35">
        <v>0</v>
      </c>
      <c r="H54" s="37">
        <v>7</v>
      </c>
      <c r="I54" s="39">
        <v>30</v>
      </c>
      <c r="J54" s="40">
        <f t="shared" si="0"/>
        <v>5.0999999999999996</v>
      </c>
      <c r="K54" s="36">
        <v>1</v>
      </c>
      <c r="L54" s="41">
        <f t="shared" si="1"/>
        <v>5.1999999999999993</v>
      </c>
      <c r="M54" s="58">
        <v>52</v>
      </c>
      <c r="N54" s="25">
        <v>0</v>
      </c>
      <c r="O54" s="25">
        <v>5</v>
      </c>
      <c r="P54" s="25">
        <v>10</v>
      </c>
      <c r="Q54" s="25">
        <v>10</v>
      </c>
      <c r="R54" s="25">
        <v>5</v>
      </c>
      <c r="S54" s="53">
        <f t="shared" si="2"/>
        <v>30</v>
      </c>
      <c r="T54"/>
      <c r="U54"/>
      <c r="V54"/>
      <c r="W54"/>
      <c r="X54"/>
      <c r="Y54"/>
      <c r="Z54"/>
      <c r="AA54"/>
    </row>
    <row r="55" spans="1:27" x14ac:dyDescent="0.2">
      <c r="A55" s="11"/>
      <c r="B55" s="9" t="s">
        <v>405</v>
      </c>
      <c r="C55" s="27" t="s">
        <v>406</v>
      </c>
      <c r="D55" s="32">
        <v>10</v>
      </c>
      <c r="E55" s="33">
        <v>5</v>
      </c>
      <c r="F55" s="34">
        <v>10</v>
      </c>
      <c r="G55" s="35">
        <v>0</v>
      </c>
      <c r="H55" s="37">
        <v>7</v>
      </c>
      <c r="I55" s="39">
        <v>31</v>
      </c>
      <c r="J55" s="40">
        <f t="shared" si="0"/>
        <v>4.75</v>
      </c>
      <c r="K55" s="36">
        <v>5</v>
      </c>
      <c r="L55" s="41">
        <f t="shared" si="1"/>
        <v>5.25</v>
      </c>
      <c r="M55" s="58">
        <v>53</v>
      </c>
      <c r="N55" s="25">
        <v>8</v>
      </c>
      <c r="O55" s="25">
        <v>5</v>
      </c>
      <c r="P55" s="25">
        <v>10</v>
      </c>
      <c r="Q55" s="25">
        <v>8</v>
      </c>
      <c r="R55" s="25">
        <v>0</v>
      </c>
      <c r="S55" s="53">
        <f t="shared" si="2"/>
        <v>31</v>
      </c>
      <c r="T55"/>
      <c r="U55"/>
      <c r="V55"/>
      <c r="W55"/>
      <c r="X55"/>
      <c r="Y55"/>
      <c r="Z55"/>
      <c r="AA55"/>
    </row>
    <row r="56" spans="1:27" x14ac:dyDescent="0.2">
      <c r="A56" s="14">
        <v>54</v>
      </c>
      <c r="B56" s="26"/>
      <c r="C56" s="16" t="s">
        <v>478</v>
      </c>
      <c r="D56" s="32">
        <v>10</v>
      </c>
      <c r="E56" s="33">
        <v>6</v>
      </c>
      <c r="F56" s="34">
        <v>10</v>
      </c>
      <c r="G56" s="35">
        <v>5</v>
      </c>
      <c r="H56" s="37">
        <v>7</v>
      </c>
      <c r="I56" s="39">
        <v>41</v>
      </c>
      <c r="J56" s="40">
        <f t="shared" si="0"/>
        <v>5.85</v>
      </c>
      <c r="K56" s="36">
        <v>0</v>
      </c>
      <c r="L56" s="41">
        <f t="shared" si="1"/>
        <v>5.85</v>
      </c>
      <c r="M56" s="58">
        <v>54</v>
      </c>
      <c r="N56" s="26">
        <v>5</v>
      </c>
      <c r="O56" s="26">
        <v>10</v>
      </c>
      <c r="P56" s="26">
        <v>8</v>
      </c>
      <c r="Q56" s="26">
        <v>8</v>
      </c>
      <c r="R56" s="26">
        <v>10</v>
      </c>
      <c r="S56" s="53">
        <f t="shared" si="2"/>
        <v>41</v>
      </c>
      <c r="T56"/>
      <c r="U56"/>
      <c r="V56"/>
      <c r="W56"/>
      <c r="X56"/>
      <c r="Y56"/>
      <c r="Z56"/>
      <c r="AA56"/>
    </row>
    <row r="57" spans="1:27" x14ac:dyDescent="0.2">
      <c r="D57"/>
      <c r="E57"/>
      <c r="F57"/>
      <c r="G57"/>
      <c r="H57"/>
      <c r="I57"/>
      <c r="J57"/>
      <c r="K57"/>
      <c r="P57"/>
      <c r="Q57"/>
      <c r="R57"/>
      <c r="S57"/>
      <c r="T57"/>
      <c r="U57"/>
      <c r="V57"/>
      <c r="W57"/>
      <c r="X57"/>
    </row>
    <row r="58" spans="1:27" x14ac:dyDescent="0.2">
      <c r="D58"/>
      <c r="E58"/>
      <c r="F58"/>
      <c r="G58"/>
      <c r="H58"/>
      <c r="I58"/>
      <c r="J58"/>
      <c r="K58"/>
      <c r="P58"/>
      <c r="Q58"/>
      <c r="R58"/>
      <c r="S58"/>
      <c r="T58"/>
      <c r="U58"/>
      <c r="V58"/>
      <c r="W58"/>
      <c r="X58"/>
    </row>
    <row r="59" spans="1:27" x14ac:dyDescent="0.2">
      <c r="D59"/>
      <c r="E59"/>
      <c r="F59"/>
      <c r="G59"/>
      <c r="H59"/>
      <c r="I59"/>
      <c r="J59"/>
      <c r="K59"/>
      <c r="P59"/>
      <c r="Q59"/>
      <c r="R59"/>
      <c r="S59"/>
      <c r="T59"/>
      <c r="U59"/>
      <c r="V59"/>
      <c r="W59"/>
      <c r="X59"/>
    </row>
    <row r="60" spans="1:27" x14ac:dyDescent="0.2">
      <c r="D60"/>
      <c r="E60"/>
      <c r="F60"/>
      <c r="G60"/>
      <c r="H60"/>
      <c r="I60"/>
      <c r="J60"/>
      <c r="K60"/>
      <c r="P60"/>
      <c r="Q60"/>
      <c r="R60"/>
      <c r="S60"/>
      <c r="T60"/>
      <c r="U60"/>
      <c r="V60"/>
      <c r="W60"/>
      <c r="X60"/>
    </row>
    <row r="61" spans="1:27" x14ac:dyDescent="0.2">
      <c r="P61"/>
      <c r="Q61"/>
      <c r="R61"/>
      <c r="S61"/>
      <c r="T61"/>
      <c r="U61"/>
      <c r="V61"/>
      <c r="W61"/>
      <c r="X61"/>
    </row>
    <row r="62" spans="1:27" x14ac:dyDescent="0.2">
      <c r="P62"/>
      <c r="Q62"/>
      <c r="R62"/>
      <c r="S62"/>
      <c r="T62"/>
      <c r="U62"/>
      <c r="V62"/>
      <c r="W62"/>
      <c r="X62"/>
    </row>
    <row r="63" spans="1:27" x14ac:dyDescent="0.2">
      <c r="S63"/>
      <c r="T63"/>
      <c r="U63"/>
      <c r="V63"/>
      <c r="W63"/>
      <c r="X63"/>
      <c r="Y63"/>
      <c r="Z63"/>
      <c r="AA63"/>
    </row>
    <row r="64" spans="1:27" x14ac:dyDescent="0.2">
      <c r="S64"/>
      <c r="T64"/>
      <c r="U64"/>
      <c r="V64"/>
      <c r="W64"/>
      <c r="X64"/>
      <c r="Y64"/>
      <c r="Z64"/>
      <c r="AA64"/>
    </row>
    <row r="65" spans="19:27" x14ac:dyDescent="0.2">
      <c r="S65"/>
      <c r="T65"/>
      <c r="U65"/>
      <c r="V65"/>
      <c r="W65"/>
      <c r="X65"/>
      <c r="Y65"/>
      <c r="Z65"/>
      <c r="AA65"/>
    </row>
    <row r="66" spans="19:27" x14ac:dyDescent="0.2">
      <c r="S66"/>
      <c r="T66"/>
      <c r="U66"/>
      <c r="V66"/>
      <c r="W66"/>
      <c r="X66"/>
      <c r="Y66"/>
      <c r="Z66"/>
      <c r="AA66"/>
    </row>
    <row r="67" spans="19:27" x14ac:dyDescent="0.2">
      <c r="S67"/>
      <c r="T67"/>
      <c r="U67"/>
      <c r="V67"/>
      <c r="W67"/>
      <c r="X67"/>
      <c r="Y67"/>
      <c r="Z67"/>
      <c r="AA67"/>
    </row>
    <row r="68" spans="19:27" x14ac:dyDescent="0.2">
      <c r="S68"/>
      <c r="T68"/>
      <c r="U68"/>
      <c r="V68"/>
      <c r="W68"/>
      <c r="X68"/>
      <c r="Y68"/>
      <c r="Z68"/>
      <c r="AA68"/>
    </row>
    <row r="69" spans="19:27" x14ac:dyDescent="0.2">
      <c r="S69"/>
      <c r="T69"/>
      <c r="U69"/>
      <c r="V69"/>
      <c r="W69"/>
      <c r="X69"/>
      <c r="Y69"/>
      <c r="Z69"/>
      <c r="AA69"/>
    </row>
    <row r="70" spans="19:27" x14ac:dyDescent="0.2">
      <c r="S70"/>
      <c r="T70"/>
      <c r="U70"/>
      <c r="V70"/>
      <c r="W70"/>
      <c r="X70"/>
      <c r="Y70"/>
      <c r="Z70"/>
      <c r="AA70"/>
    </row>
    <row r="71" spans="19:27" x14ac:dyDescent="0.2">
      <c r="S71"/>
      <c r="T71"/>
      <c r="U71"/>
      <c r="V71"/>
      <c r="W71"/>
      <c r="X71"/>
      <c r="Y71"/>
      <c r="Z71"/>
      <c r="AA71"/>
    </row>
    <row r="72" spans="19:27" x14ac:dyDescent="0.2">
      <c r="S72"/>
      <c r="T72"/>
      <c r="U72"/>
      <c r="V72"/>
      <c r="W72"/>
      <c r="X72"/>
      <c r="Y72"/>
      <c r="Z72"/>
      <c r="AA72"/>
    </row>
    <row r="73" spans="19:27" x14ac:dyDescent="0.2">
      <c r="S73"/>
      <c r="T73"/>
      <c r="U73"/>
      <c r="V73"/>
      <c r="W73"/>
      <c r="X73"/>
      <c r="Y73"/>
      <c r="Z73"/>
      <c r="AA73"/>
    </row>
    <row r="74" spans="19:27" x14ac:dyDescent="0.2">
      <c r="S74"/>
      <c r="T74"/>
      <c r="U74"/>
      <c r="V74"/>
      <c r="W74"/>
      <c r="X74"/>
      <c r="Y74"/>
      <c r="Z74"/>
      <c r="AA74"/>
    </row>
    <row r="75" spans="19:27" x14ac:dyDescent="0.2">
      <c r="S75"/>
      <c r="T75"/>
      <c r="U75"/>
      <c r="V75"/>
      <c r="W75"/>
      <c r="X75"/>
      <c r="Y75"/>
      <c r="Z75"/>
      <c r="AA75"/>
    </row>
    <row r="76" spans="19:27" x14ac:dyDescent="0.2">
      <c r="S76"/>
      <c r="T76"/>
      <c r="U76"/>
      <c r="V76"/>
      <c r="W76"/>
      <c r="X76"/>
      <c r="Y76"/>
      <c r="Z76"/>
      <c r="AA76"/>
    </row>
    <row r="77" spans="19:27" x14ac:dyDescent="0.2">
      <c r="S77"/>
      <c r="T77"/>
      <c r="U77"/>
      <c r="V77"/>
      <c r="W77"/>
      <c r="X77"/>
      <c r="Y77"/>
      <c r="Z77"/>
      <c r="AA77"/>
    </row>
    <row r="78" spans="19:27" x14ac:dyDescent="0.2">
      <c r="S78"/>
      <c r="T78"/>
      <c r="U78"/>
      <c r="V78"/>
      <c r="W78"/>
      <c r="X78"/>
      <c r="Y78"/>
      <c r="Z78"/>
      <c r="AA78"/>
    </row>
    <row r="79" spans="19:27" x14ac:dyDescent="0.2">
      <c r="S79"/>
      <c r="T79"/>
      <c r="U79"/>
      <c r="V79"/>
      <c r="W79"/>
      <c r="X79"/>
      <c r="Y79"/>
      <c r="Z79"/>
      <c r="AA79"/>
    </row>
    <row r="80" spans="19:27" x14ac:dyDescent="0.2">
      <c r="S80"/>
      <c r="T80"/>
      <c r="U80"/>
      <c r="V80"/>
      <c r="W80"/>
      <c r="X80"/>
      <c r="Y80"/>
      <c r="Z80"/>
      <c r="AA80"/>
    </row>
    <row r="81" spans="19:27" x14ac:dyDescent="0.2">
      <c r="S81"/>
      <c r="T81"/>
      <c r="U81"/>
      <c r="V81"/>
      <c r="W81"/>
      <c r="X81"/>
      <c r="Y81"/>
      <c r="Z81"/>
      <c r="AA81"/>
    </row>
    <row r="82" spans="19:27" x14ac:dyDescent="0.2">
      <c r="S82"/>
      <c r="T82"/>
      <c r="U82"/>
      <c r="V82"/>
      <c r="W82"/>
      <c r="X82"/>
      <c r="Y82"/>
      <c r="Z82"/>
      <c r="AA82"/>
    </row>
    <row r="83" spans="19:27" x14ac:dyDescent="0.2">
      <c r="S83"/>
      <c r="T83"/>
      <c r="U83"/>
      <c r="V83"/>
      <c r="W83"/>
      <c r="X83"/>
      <c r="Y83"/>
      <c r="Z83"/>
      <c r="AA83"/>
    </row>
    <row r="84" spans="19:27" x14ac:dyDescent="0.2">
      <c r="S84"/>
      <c r="T84"/>
      <c r="U84"/>
      <c r="V84"/>
      <c r="W84"/>
      <c r="X84"/>
      <c r="Y84"/>
      <c r="Z84"/>
      <c r="AA84"/>
    </row>
    <row r="85" spans="19:27" x14ac:dyDescent="0.2">
      <c r="S85"/>
      <c r="T85"/>
      <c r="U85"/>
      <c r="V85"/>
      <c r="W85"/>
      <c r="X85"/>
      <c r="Y85"/>
      <c r="Z85"/>
      <c r="AA85"/>
    </row>
    <row r="86" spans="19:27" x14ac:dyDescent="0.2">
      <c r="S86"/>
      <c r="T86"/>
      <c r="U86"/>
      <c r="V86"/>
      <c r="W86"/>
      <c r="X86"/>
      <c r="Y86"/>
      <c r="Z86"/>
      <c r="AA86"/>
    </row>
    <row r="87" spans="19:27" x14ac:dyDescent="0.2">
      <c r="S87"/>
      <c r="T87"/>
      <c r="U87"/>
      <c r="V87"/>
      <c r="W87"/>
      <c r="X87"/>
      <c r="Y87"/>
      <c r="Z87"/>
      <c r="AA87"/>
    </row>
    <row r="88" spans="19:27" x14ac:dyDescent="0.2">
      <c r="S88"/>
      <c r="T88"/>
      <c r="U88"/>
      <c r="V88"/>
      <c r="W88"/>
      <c r="X88"/>
      <c r="Y88"/>
      <c r="Z88"/>
      <c r="AA88"/>
    </row>
    <row r="89" spans="19:27" x14ac:dyDescent="0.2">
      <c r="S89"/>
      <c r="T89"/>
      <c r="U89"/>
      <c r="V89"/>
      <c r="W89"/>
      <c r="X89"/>
      <c r="Y89"/>
      <c r="Z89"/>
      <c r="AA89"/>
    </row>
    <row r="90" spans="19:27" x14ac:dyDescent="0.2">
      <c r="S90"/>
      <c r="T90"/>
      <c r="U90"/>
      <c r="V90"/>
      <c r="W90"/>
      <c r="X90"/>
      <c r="Y90"/>
      <c r="Z90"/>
      <c r="AA90"/>
    </row>
    <row r="91" spans="19:27" x14ac:dyDescent="0.2">
      <c r="S91"/>
      <c r="T91"/>
      <c r="U91"/>
      <c r="V91"/>
      <c r="W91"/>
      <c r="X91"/>
      <c r="Y91"/>
      <c r="Z91"/>
      <c r="AA91"/>
    </row>
    <row r="92" spans="19:27" x14ac:dyDescent="0.2">
      <c r="S92"/>
      <c r="T92"/>
      <c r="U92"/>
      <c r="V92"/>
      <c r="W92"/>
      <c r="X92"/>
      <c r="Y92"/>
      <c r="Z92"/>
      <c r="AA92"/>
    </row>
    <row r="93" spans="19:27" x14ac:dyDescent="0.2">
      <c r="S93"/>
      <c r="T93"/>
      <c r="U93"/>
      <c r="V93"/>
      <c r="W93"/>
      <c r="X93"/>
      <c r="Y93"/>
      <c r="Z93"/>
      <c r="AA93"/>
    </row>
    <row r="94" spans="19:27" x14ac:dyDescent="0.2">
      <c r="S94"/>
      <c r="T94"/>
      <c r="U94"/>
      <c r="V94"/>
      <c r="W94"/>
      <c r="X94"/>
      <c r="Y94"/>
      <c r="Z94"/>
      <c r="AA94"/>
    </row>
    <row r="95" spans="19:27" x14ac:dyDescent="0.2">
      <c r="S95"/>
      <c r="T95"/>
      <c r="U95"/>
      <c r="V95"/>
      <c r="W95"/>
      <c r="X95"/>
      <c r="Y95"/>
      <c r="Z95"/>
      <c r="AA95"/>
    </row>
    <row r="96" spans="19:27" x14ac:dyDescent="0.2">
      <c r="S96"/>
      <c r="T96"/>
      <c r="U96"/>
      <c r="V96"/>
      <c r="W96"/>
      <c r="X96"/>
      <c r="Y96"/>
      <c r="Z96"/>
      <c r="AA96"/>
    </row>
    <row r="97" spans="19:27" x14ac:dyDescent="0.2">
      <c r="S97"/>
      <c r="T97"/>
      <c r="U97"/>
      <c r="V97"/>
      <c r="W97"/>
      <c r="X97"/>
      <c r="Y97"/>
      <c r="Z97"/>
      <c r="AA97"/>
    </row>
    <row r="98" spans="19:27" x14ac:dyDescent="0.2">
      <c r="S98"/>
      <c r="T98"/>
      <c r="U98"/>
      <c r="V98"/>
      <c r="W98"/>
      <c r="X98"/>
      <c r="Y98"/>
      <c r="Z98"/>
      <c r="AA98"/>
    </row>
    <row r="99" spans="19:27" x14ac:dyDescent="0.2">
      <c r="S99"/>
      <c r="T99"/>
      <c r="U99"/>
      <c r="V99"/>
      <c r="W99"/>
      <c r="X99"/>
      <c r="Y99"/>
      <c r="Z99"/>
      <c r="AA99"/>
    </row>
    <row r="100" spans="19:27" x14ac:dyDescent="0.2">
      <c r="S100"/>
      <c r="T100"/>
      <c r="U100"/>
      <c r="V100"/>
      <c r="W100"/>
      <c r="X100"/>
      <c r="Y100"/>
      <c r="Z100"/>
      <c r="AA100"/>
    </row>
    <row r="101" spans="19:27" x14ac:dyDescent="0.2">
      <c r="S101"/>
      <c r="T101"/>
      <c r="U101"/>
      <c r="V101"/>
      <c r="W101"/>
      <c r="X101"/>
      <c r="Y101"/>
      <c r="Z101"/>
      <c r="AA101"/>
    </row>
    <row r="102" spans="19:27" x14ac:dyDescent="0.2">
      <c r="S102"/>
      <c r="T102"/>
      <c r="U102"/>
      <c r="V102"/>
      <c r="W102"/>
      <c r="X102"/>
      <c r="Y102"/>
      <c r="Z102"/>
      <c r="AA102"/>
    </row>
    <row r="103" spans="19:27" x14ac:dyDescent="0.2">
      <c r="S103"/>
      <c r="T103"/>
      <c r="U103"/>
      <c r="V103"/>
      <c r="W103"/>
      <c r="X103"/>
      <c r="Y103"/>
      <c r="Z103"/>
      <c r="AA103"/>
    </row>
    <row r="104" spans="19:27" x14ac:dyDescent="0.2">
      <c r="S104"/>
      <c r="T104"/>
      <c r="U104"/>
      <c r="V104"/>
      <c r="W104"/>
      <c r="X104"/>
      <c r="Y104"/>
      <c r="Z104"/>
      <c r="AA104"/>
    </row>
    <row r="105" spans="19:27" x14ac:dyDescent="0.2">
      <c r="S105"/>
      <c r="T105"/>
      <c r="U105"/>
      <c r="V105"/>
      <c r="W105"/>
      <c r="X105"/>
      <c r="Y105"/>
      <c r="Z105"/>
      <c r="AA105"/>
    </row>
    <row r="106" spans="19:27" x14ac:dyDescent="0.2">
      <c r="S106"/>
      <c r="T106"/>
      <c r="U106"/>
      <c r="V106"/>
      <c r="W106"/>
      <c r="X106"/>
      <c r="Y106"/>
      <c r="Z106"/>
      <c r="AA106"/>
    </row>
    <row r="107" spans="19:27" x14ac:dyDescent="0.2">
      <c r="S107"/>
      <c r="T107"/>
      <c r="U107"/>
      <c r="V107"/>
      <c r="W107"/>
      <c r="X107"/>
      <c r="Y107"/>
      <c r="Z107"/>
      <c r="AA107"/>
    </row>
    <row r="108" spans="19:27" x14ac:dyDescent="0.2">
      <c r="S108"/>
      <c r="T108"/>
      <c r="U108"/>
      <c r="V108"/>
      <c r="W108"/>
      <c r="X108"/>
      <c r="Y108"/>
      <c r="Z108"/>
      <c r="AA108"/>
    </row>
    <row r="109" spans="19:27" x14ac:dyDescent="0.2">
      <c r="S109"/>
      <c r="T109"/>
      <c r="U109"/>
      <c r="V109"/>
      <c r="W109"/>
      <c r="X109"/>
      <c r="Y109"/>
      <c r="Z109"/>
      <c r="AA109"/>
    </row>
    <row r="110" spans="19:27" x14ac:dyDescent="0.2">
      <c r="S110"/>
      <c r="T110"/>
      <c r="U110"/>
      <c r="V110"/>
      <c r="W110"/>
      <c r="X110"/>
      <c r="Y110"/>
      <c r="Z110"/>
      <c r="AA110"/>
    </row>
    <row r="111" spans="19:27" x14ac:dyDescent="0.2">
      <c r="S111"/>
      <c r="T111"/>
      <c r="U111"/>
      <c r="V111"/>
      <c r="W111"/>
      <c r="X111"/>
      <c r="Y111"/>
      <c r="Z111"/>
      <c r="AA111"/>
    </row>
    <row r="112" spans="19:27" x14ac:dyDescent="0.2">
      <c r="S112"/>
      <c r="T112"/>
      <c r="U112"/>
      <c r="V112"/>
      <c r="W112"/>
      <c r="X112"/>
      <c r="Y112"/>
      <c r="Z112"/>
      <c r="AA112"/>
    </row>
    <row r="113" spans="19:27" x14ac:dyDescent="0.2">
      <c r="S113"/>
      <c r="T113"/>
      <c r="U113"/>
      <c r="V113"/>
      <c r="W113"/>
      <c r="X113"/>
      <c r="Y113"/>
      <c r="Z113"/>
      <c r="AA113"/>
    </row>
    <row r="114" spans="19:27" x14ac:dyDescent="0.2">
      <c r="S114"/>
      <c r="T114"/>
      <c r="U114"/>
      <c r="V114"/>
      <c r="W114"/>
      <c r="X114"/>
      <c r="Y114"/>
      <c r="Z114"/>
      <c r="AA114"/>
    </row>
    <row r="115" spans="19:27" x14ac:dyDescent="0.2">
      <c r="S115"/>
      <c r="T115"/>
      <c r="U115"/>
      <c r="V115"/>
      <c r="W115"/>
      <c r="X115"/>
      <c r="Y115"/>
      <c r="Z115"/>
      <c r="AA115"/>
    </row>
    <row r="116" spans="19:27" x14ac:dyDescent="0.2">
      <c r="S116"/>
      <c r="T116"/>
      <c r="U116"/>
      <c r="V116"/>
      <c r="W116"/>
      <c r="X116"/>
      <c r="Y116"/>
      <c r="Z116"/>
      <c r="AA116"/>
    </row>
    <row r="117" spans="19:27" x14ac:dyDescent="0.2">
      <c r="S117"/>
      <c r="T117"/>
      <c r="U117"/>
      <c r="V117"/>
      <c r="W117"/>
      <c r="X117"/>
      <c r="Y117"/>
      <c r="Z117"/>
      <c r="AA117"/>
    </row>
    <row r="118" spans="19:27" x14ac:dyDescent="0.2">
      <c r="S118"/>
      <c r="T118"/>
      <c r="U118"/>
      <c r="V118"/>
      <c r="W118"/>
      <c r="X118"/>
      <c r="Y118"/>
      <c r="Z118"/>
      <c r="AA118"/>
    </row>
    <row r="119" spans="19:27" x14ac:dyDescent="0.2">
      <c r="S119"/>
      <c r="T119"/>
      <c r="U119"/>
      <c r="V119"/>
      <c r="W119"/>
      <c r="X119"/>
      <c r="Y119"/>
      <c r="Z119"/>
      <c r="AA119"/>
    </row>
    <row r="120" spans="19:27" x14ac:dyDescent="0.2">
      <c r="S120"/>
      <c r="T120"/>
      <c r="U120"/>
      <c r="V120"/>
      <c r="W120"/>
      <c r="X120"/>
      <c r="Y120"/>
      <c r="Z120"/>
      <c r="AA120"/>
    </row>
    <row r="121" spans="19:27" x14ac:dyDescent="0.2">
      <c r="S121"/>
      <c r="T121"/>
      <c r="U121"/>
      <c r="V121"/>
      <c r="W121"/>
      <c r="X121"/>
      <c r="Y121"/>
      <c r="Z121"/>
      <c r="AA121"/>
    </row>
  </sheetData>
  <mergeCells count="2">
    <mergeCell ref="A1:L1"/>
    <mergeCell ref="M1:S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5"/>
  <sheetViews>
    <sheetView workbookViewId="0">
      <selection activeCell="N7" sqref="N7"/>
    </sheetView>
  </sheetViews>
  <sheetFormatPr baseColWidth="10" defaultRowHeight="12.75" x14ac:dyDescent="0.2"/>
  <cols>
    <col min="1" max="2" width="2.7109375" style="7" bestFit="1" customWidth="1"/>
    <col min="3" max="3" width="30.5703125" style="7" bestFit="1" customWidth="1"/>
    <col min="4" max="5" width="5.140625" style="7" customWidth="1"/>
    <col min="6" max="6" width="5.5703125" style="7" customWidth="1"/>
    <col min="7" max="7" width="4.85546875" style="7" customWidth="1"/>
    <col min="8" max="9" width="7.5703125" style="7" customWidth="1"/>
    <col min="10" max="10" width="4.28515625" style="7" customWidth="1"/>
    <col min="11" max="11" width="5.5703125" style="7" customWidth="1"/>
    <col min="12" max="12" width="6.42578125" style="7" customWidth="1"/>
    <col min="13" max="13" width="9.140625" style="7" bestFit="1" customWidth="1"/>
    <col min="14" max="14" width="6.85546875" style="7" customWidth="1"/>
    <col min="15" max="15" width="4" style="7" customWidth="1"/>
    <col min="16" max="16" width="4.28515625" style="7" customWidth="1"/>
    <col min="17" max="17" width="4.85546875" style="7" customWidth="1"/>
    <col min="18" max="18" width="8.140625" style="7" customWidth="1"/>
    <col min="19" max="16384" width="11.42578125" style="7"/>
  </cols>
  <sheetData>
    <row r="1" spans="1:25" ht="15.75" customHeight="1" x14ac:dyDescent="0.3">
      <c r="A1" s="49" t="s">
        <v>482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62" t="s">
        <v>477</v>
      </c>
      <c r="N1" s="62"/>
      <c r="O1" s="62"/>
      <c r="P1" s="62"/>
      <c r="Q1" s="62"/>
      <c r="R1" s="62"/>
      <c r="S1" s="62"/>
    </row>
    <row r="2" spans="1:25" x14ac:dyDescent="0.2">
      <c r="A2" s="16" t="s">
        <v>52</v>
      </c>
      <c r="B2" s="16" t="s">
        <v>53</v>
      </c>
      <c r="C2" s="17" t="s">
        <v>54</v>
      </c>
      <c r="D2" s="32" t="s">
        <v>468</v>
      </c>
      <c r="E2" s="33" t="s">
        <v>112</v>
      </c>
      <c r="F2" s="34" t="s">
        <v>469</v>
      </c>
      <c r="G2" s="35" t="s">
        <v>470</v>
      </c>
      <c r="H2" s="37" t="s">
        <v>113</v>
      </c>
      <c r="I2" s="39" t="s">
        <v>476</v>
      </c>
      <c r="J2" s="40" t="s">
        <v>474</v>
      </c>
      <c r="K2" s="36" t="s">
        <v>475</v>
      </c>
      <c r="L2" s="41" t="s">
        <v>473</v>
      </c>
      <c r="M2" s="57" t="s">
        <v>485</v>
      </c>
      <c r="N2" s="25"/>
      <c r="O2" s="25"/>
      <c r="P2" s="25"/>
      <c r="Q2" s="25"/>
      <c r="R2" s="25"/>
      <c r="S2" s="53" t="s">
        <v>486</v>
      </c>
      <c r="T2"/>
      <c r="U2"/>
      <c r="V2"/>
      <c r="W2"/>
      <c r="X2"/>
      <c r="Y2"/>
    </row>
    <row r="3" spans="1:25" x14ac:dyDescent="0.2">
      <c r="A3" s="18"/>
      <c r="B3" s="16" t="s">
        <v>111</v>
      </c>
      <c r="C3" s="19" t="s">
        <v>410</v>
      </c>
      <c r="D3" s="32">
        <v>10</v>
      </c>
      <c r="E3" s="33">
        <v>7</v>
      </c>
      <c r="F3" s="34">
        <v>10</v>
      </c>
      <c r="G3" s="35">
        <v>5</v>
      </c>
      <c r="H3" s="37">
        <v>9</v>
      </c>
      <c r="I3" s="39">
        <v>50</v>
      </c>
      <c r="J3" s="40">
        <f>(D3/10)+(E3/10)+(F3/10)+(G3/10)+(H3/10)+(I3*2.5/50)</f>
        <v>6.6000000000000005</v>
      </c>
      <c r="K3" s="36">
        <v>8</v>
      </c>
      <c r="L3" s="41">
        <f>(J3)+(K3/10)</f>
        <v>7.4</v>
      </c>
      <c r="M3" s="58">
        <v>1</v>
      </c>
      <c r="N3" s="25">
        <v>10</v>
      </c>
      <c r="O3" s="25">
        <v>10</v>
      </c>
      <c r="P3" s="25">
        <v>10</v>
      </c>
      <c r="Q3" s="25">
        <v>10</v>
      </c>
      <c r="R3" s="25">
        <v>10</v>
      </c>
      <c r="S3" s="53">
        <f>SUM(N3:R3)</f>
        <v>50</v>
      </c>
      <c r="T3"/>
      <c r="U3"/>
      <c r="V3"/>
      <c r="W3"/>
      <c r="X3"/>
      <c r="Y3"/>
    </row>
    <row r="4" spans="1:25" x14ac:dyDescent="0.2">
      <c r="A4" s="16" t="s">
        <v>55</v>
      </c>
      <c r="B4" s="18"/>
      <c r="C4" s="18" t="s">
        <v>411</v>
      </c>
      <c r="D4" s="32">
        <v>10</v>
      </c>
      <c r="E4" s="33">
        <v>7</v>
      </c>
      <c r="F4" s="34">
        <v>8</v>
      </c>
      <c r="G4" s="35">
        <v>5</v>
      </c>
      <c r="H4" s="37">
        <v>8</v>
      </c>
      <c r="I4" s="39">
        <v>25</v>
      </c>
      <c r="J4" s="40">
        <f t="shared" ref="J4:J54" si="0">(D4/10)+(E4/10)+(F4/10)+(G4/10)+(H4/10)+(I4*2.5/50)</f>
        <v>5.05</v>
      </c>
      <c r="K4" s="36">
        <v>0</v>
      </c>
      <c r="L4" s="41">
        <f t="shared" ref="L4:L54" si="1">(J4)+(K4/10)</f>
        <v>5.05</v>
      </c>
      <c r="M4" s="58">
        <v>2</v>
      </c>
      <c r="N4" s="25">
        <v>0</v>
      </c>
      <c r="O4" s="25">
        <v>0</v>
      </c>
      <c r="P4" s="25">
        <v>5</v>
      </c>
      <c r="Q4" s="25">
        <v>10</v>
      </c>
      <c r="R4" s="25">
        <v>10</v>
      </c>
      <c r="S4" s="53">
        <f t="shared" ref="S4:S54" si="2">SUM(N4:R4)</f>
        <v>25</v>
      </c>
      <c r="T4"/>
      <c r="U4"/>
      <c r="V4"/>
      <c r="W4"/>
      <c r="X4"/>
      <c r="Y4"/>
    </row>
    <row r="5" spans="1:25" x14ac:dyDescent="0.2">
      <c r="A5" s="18" t="s">
        <v>56</v>
      </c>
      <c r="B5" s="18"/>
      <c r="C5" s="18" t="s">
        <v>412</v>
      </c>
      <c r="D5" s="32">
        <v>0</v>
      </c>
      <c r="E5" s="33">
        <v>5</v>
      </c>
      <c r="F5" s="34">
        <v>8</v>
      </c>
      <c r="G5" s="35">
        <v>0</v>
      </c>
      <c r="H5" s="37">
        <v>6</v>
      </c>
      <c r="I5" s="39">
        <v>26</v>
      </c>
      <c r="J5" s="40">
        <f t="shared" si="0"/>
        <v>3.2</v>
      </c>
      <c r="K5" s="36">
        <v>0</v>
      </c>
      <c r="L5" s="41">
        <f t="shared" si="1"/>
        <v>3.2</v>
      </c>
      <c r="M5" s="58">
        <v>3</v>
      </c>
      <c r="N5" s="25">
        <v>8</v>
      </c>
      <c r="O5" s="25">
        <v>4</v>
      </c>
      <c r="P5" s="25">
        <v>0</v>
      </c>
      <c r="Q5" s="25">
        <v>4</v>
      </c>
      <c r="R5" s="25">
        <v>10</v>
      </c>
      <c r="S5" s="53">
        <f t="shared" si="2"/>
        <v>26</v>
      </c>
      <c r="T5"/>
      <c r="U5"/>
      <c r="V5"/>
      <c r="W5"/>
      <c r="X5"/>
      <c r="Y5"/>
    </row>
    <row r="6" spans="1:25" x14ac:dyDescent="0.2">
      <c r="A6" s="18"/>
      <c r="B6" s="18" t="s">
        <v>57</v>
      </c>
      <c r="C6" s="18" t="s">
        <v>413</v>
      </c>
      <c r="D6" s="32">
        <v>0</v>
      </c>
      <c r="E6" s="33">
        <v>5</v>
      </c>
      <c r="F6" s="34">
        <v>8</v>
      </c>
      <c r="G6" s="35">
        <v>0</v>
      </c>
      <c r="H6" s="37">
        <v>6</v>
      </c>
      <c r="I6" s="39">
        <v>12</v>
      </c>
      <c r="J6" s="40">
        <f t="shared" si="0"/>
        <v>2.5</v>
      </c>
      <c r="K6" s="36">
        <v>0</v>
      </c>
      <c r="L6" s="41">
        <f t="shared" si="1"/>
        <v>2.5</v>
      </c>
      <c r="M6" s="58">
        <v>4</v>
      </c>
      <c r="N6" s="25">
        <v>2</v>
      </c>
      <c r="O6" s="25">
        <v>0</v>
      </c>
      <c r="P6" s="25">
        <v>0</v>
      </c>
      <c r="Q6" s="25">
        <v>10</v>
      </c>
      <c r="R6" s="25">
        <v>0</v>
      </c>
      <c r="S6" s="53">
        <f t="shared" si="2"/>
        <v>12</v>
      </c>
      <c r="T6"/>
      <c r="U6"/>
      <c r="V6"/>
      <c r="W6"/>
      <c r="X6"/>
      <c r="Y6"/>
    </row>
    <row r="7" spans="1:25" x14ac:dyDescent="0.2">
      <c r="A7" s="18" t="s">
        <v>58</v>
      </c>
      <c r="B7" s="18"/>
      <c r="C7" s="18" t="s">
        <v>414</v>
      </c>
      <c r="D7" s="32">
        <v>10</v>
      </c>
      <c r="E7" s="33">
        <v>7</v>
      </c>
      <c r="F7" s="34">
        <v>0</v>
      </c>
      <c r="G7" s="35">
        <v>5</v>
      </c>
      <c r="H7" s="37">
        <v>8</v>
      </c>
      <c r="I7" s="39">
        <v>26</v>
      </c>
      <c r="J7" s="40">
        <f t="shared" si="0"/>
        <v>4.3</v>
      </c>
      <c r="K7" s="36">
        <v>0</v>
      </c>
      <c r="L7" s="41">
        <f t="shared" si="1"/>
        <v>4.3</v>
      </c>
      <c r="M7" s="58">
        <v>5</v>
      </c>
      <c r="N7" s="25">
        <v>5</v>
      </c>
      <c r="O7" s="25">
        <v>10</v>
      </c>
      <c r="P7" s="25">
        <v>5</v>
      </c>
      <c r="Q7" s="25">
        <v>6</v>
      </c>
      <c r="R7" s="25">
        <v>0</v>
      </c>
      <c r="S7" s="53">
        <f t="shared" si="2"/>
        <v>26</v>
      </c>
      <c r="T7"/>
      <c r="U7"/>
      <c r="V7"/>
      <c r="W7"/>
      <c r="X7"/>
      <c r="Y7"/>
    </row>
    <row r="8" spans="1:25" x14ac:dyDescent="0.2">
      <c r="A8" s="18"/>
      <c r="B8" s="16" t="s">
        <v>59</v>
      </c>
      <c r="C8" s="19" t="s">
        <v>415</v>
      </c>
      <c r="D8" s="32">
        <v>10</v>
      </c>
      <c r="E8" s="33">
        <v>7</v>
      </c>
      <c r="F8" s="34">
        <v>10</v>
      </c>
      <c r="G8" s="35">
        <v>5</v>
      </c>
      <c r="H8" s="37">
        <v>8</v>
      </c>
      <c r="I8" s="39">
        <v>39</v>
      </c>
      <c r="J8" s="40">
        <f t="shared" si="0"/>
        <v>5.95</v>
      </c>
      <c r="K8" s="36">
        <v>0</v>
      </c>
      <c r="L8" s="41">
        <f t="shared" si="1"/>
        <v>5.95</v>
      </c>
      <c r="M8" s="58">
        <v>6</v>
      </c>
      <c r="N8" s="25">
        <v>10</v>
      </c>
      <c r="O8" s="25">
        <v>6</v>
      </c>
      <c r="P8" s="25">
        <v>10</v>
      </c>
      <c r="Q8" s="25">
        <v>8</v>
      </c>
      <c r="R8" s="25">
        <v>5</v>
      </c>
      <c r="S8" s="53">
        <f t="shared" si="2"/>
        <v>39</v>
      </c>
      <c r="T8"/>
      <c r="U8"/>
      <c r="V8"/>
      <c r="W8"/>
      <c r="X8"/>
      <c r="Y8"/>
    </row>
    <row r="9" spans="1:25" x14ac:dyDescent="0.2">
      <c r="A9" s="16" t="s">
        <v>60</v>
      </c>
      <c r="B9" s="18"/>
      <c r="C9" s="16" t="s">
        <v>416</v>
      </c>
      <c r="D9" s="32">
        <v>10</v>
      </c>
      <c r="E9" s="33">
        <v>0</v>
      </c>
      <c r="F9" s="34">
        <v>8</v>
      </c>
      <c r="G9" s="35">
        <v>5</v>
      </c>
      <c r="H9" s="37">
        <v>5</v>
      </c>
      <c r="I9" s="39">
        <v>26</v>
      </c>
      <c r="J9" s="40">
        <f t="shared" si="0"/>
        <v>4.0999999999999996</v>
      </c>
      <c r="K9" s="36">
        <v>10</v>
      </c>
      <c r="L9" s="41">
        <f t="shared" si="1"/>
        <v>5.0999999999999996</v>
      </c>
      <c r="M9" s="58">
        <v>7</v>
      </c>
      <c r="N9" s="25">
        <v>6</v>
      </c>
      <c r="O9" s="25">
        <v>4</v>
      </c>
      <c r="P9" s="25">
        <v>5</v>
      </c>
      <c r="Q9" s="25">
        <v>6</v>
      </c>
      <c r="R9" s="25">
        <v>5</v>
      </c>
      <c r="S9" s="53">
        <f t="shared" si="2"/>
        <v>26</v>
      </c>
      <c r="T9"/>
      <c r="U9"/>
      <c r="V9"/>
      <c r="W9"/>
      <c r="X9"/>
      <c r="Y9"/>
    </row>
    <row r="10" spans="1:25" x14ac:dyDescent="0.2">
      <c r="A10" s="16" t="s">
        <v>61</v>
      </c>
      <c r="B10" s="18"/>
      <c r="C10" s="19" t="s">
        <v>417</v>
      </c>
      <c r="D10" s="32">
        <v>6</v>
      </c>
      <c r="E10" s="33">
        <v>8</v>
      </c>
      <c r="F10" s="34">
        <v>0</v>
      </c>
      <c r="G10" s="35">
        <v>0</v>
      </c>
      <c r="H10" s="37">
        <v>4</v>
      </c>
      <c r="I10" s="39">
        <v>35</v>
      </c>
      <c r="J10" s="40">
        <f t="shared" si="0"/>
        <v>3.55</v>
      </c>
      <c r="K10" s="36">
        <v>0</v>
      </c>
      <c r="L10" s="41">
        <f t="shared" si="1"/>
        <v>3.55</v>
      </c>
      <c r="M10" s="58">
        <v>8</v>
      </c>
      <c r="N10" s="25">
        <v>9</v>
      </c>
      <c r="O10" s="25">
        <v>6</v>
      </c>
      <c r="P10" s="25">
        <v>10</v>
      </c>
      <c r="Q10" s="25">
        <v>10</v>
      </c>
      <c r="R10" s="25">
        <v>0</v>
      </c>
      <c r="S10" s="53">
        <f t="shared" si="2"/>
        <v>35</v>
      </c>
      <c r="T10"/>
      <c r="U10"/>
      <c r="V10"/>
      <c r="W10"/>
      <c r="X10"/>
      <c r="Y10"/>
    </row>
    <row r="11" spans="1:25" x14ac:dyDescent="0.2">
      <c r="A11" s="16" t="s">
        <v>62</v>
      </c>
      <c r="B11" s="18"/>
      <c r="C11" s="16" t="s">
        <v>418</v>
      </c>
      <c r="D11" s="32">
        <v>10</v>
      </c>
      <c r="E11" s="33">
        <v>6</v>
      </c>
      <c r="F11" s="34">
        <v>8</v>
      </c>
      <c r="G11" s="35">
        <v>0</v>
      </c>
      <c r="H11" s="37">
        <v>5</v>
      </c>
      <c r="I11" s="39">
        <v>28</v>
      </c>
      <c r="J11" s="40">
        <f t="shared" si="0"/>
        <v>4.3000000000000007</v>
      </c>
      <c r="K11" s="36">
        <v>7</v>
      </c>
      <c r="L11" s="41">
        <f t="shared" si="1"/>
        <v>5.0000000000000009</v>
      </c>
      <c r="M11" s="58">
        <v>9</v>
      </c>
      <c r="N11" s="25">
        <v>7</v>
      </c>
      <c r="O11" s="25">
        <v>6</v>
      </c>
      <c r="P11" s="25">
        <v>5</v>
      </c>
      <c r="Q11" s="25">
        <v>5</v>
      </c>
      <c r="R11" s="25">
        <v>5</v>
      </c>
      <c r="S11" s="53">
        <f t="shared" si="2"/>
        <v>28</v>
      </c>
      <c r="T11"/>
      <c r="U11"/>
      <c r="V11"/>
      <c r="W11"/>
      <c r="X11"/>
      <c r="Y11"/>
    </row>
    <row r="12" spans="1:25" x14ac:dyDescent="0.2">
      <c r="A12" s="16" t="s">
        <v>63</v>
      </c>
      <c r="B12" s="18"/>
      <c r="C12" s="19" t="s">
        <v>419</v>
      </c>
      <c r="D12" s="32">
        <v>10</v>
      </c>
      <c r="E12" s="33">
        <v>8</v>
      </c>
      <c r="F12" s="34">
        <v>10</v>
      </c>
      <c r="G12" s="35">
        <v>5</v>
      </c>
      <c r="H12" s="37">
        <v>6</v>
      </c>
      <c r="I12" s="39">
        <v>44</v>
      </c>
      <c r="J12" s="40">
        <f t="shared" si="0"/>
        <v>6.1</v>
      </c>
      <c r="K12" s="36">
        <v>5</v>
      </c>
      <c r="L12" s="41">
        <f t="shared" si="1"/>
        <v>6.6</v>
      </c>
      <c r="M12" s="58">
        <v>10</v>
      </c>
      <c r="N12" s="25">
        <v>9</v>
      </c>
      <c r="O12" s="25">
        <v>10</v>
      </c>
      <c r="P12" s="25">
        <v>10</v>
      </c>
      <c r="Q12" s="25">
        <v>10</v>
      </c>
      <c r="R12" s="25">
        <v>5</v>
      </c>
      <c r="S12" s="53">
        <f t="shared" si="2"/>
        <v>44</v>
      </c>
      <c r="T12"/>
      <c r="U12"/>
      <c r="V12"/>
      <c r="W12"/>
      <c r="X12"/>
      <c r="Y12"/>
    </row>
    <row r="13" spans="1:25" x14ac:dyDescent="0.2">
      <c r="A13" s="18"/>
      <c r="B13" s="16" t="s">
        <v>64</v>
      </c>
      <c r="C13" s="19" t="s">
        <v>420</v>
      </c>
      <c r="D13" s="32">
        <v>10</v>
      </c>
      <c r="E13" s="33">
        <v>10</v>
      </c>
      <c r="F13" s="34">
        <v>8</v>
      </c>
      <c r="G13" s="35">
        <v>5</v>
      </c>
      <c r="H13" s="37">
        <v>5</v>
      </c>
      <c r="I13" s="39">
        <v>46</v>
      </c>
      <c r="J13" s="40">
        <f t="shared" si="0"/>
        <v>6.1</v>
      </c>
      <c r="K13" s="36">
        <v>5</v>
      </c>
      <c r="L13" s="41">
        <f t="shared" si="1"/>
        <v>6.6</v>
      </c>
      <c r="M13" s="58">
        <v>11</v>
      </c>
      <c r="N13" s="25">
        <v>9</v>
      </c>
      <c r="O13" s="25">
        <v>10</v>
      </c>
      <c r="P13" s="25">
        <v>8</v>
      </c>
      <c r="Q13" s="25">
        <v>9</v>
      </c>
      <c r="R13" s="25">
        <v>10</v>
      </c>
      <c r="S13" s="53">
        <f t="shared" si="2"/>
        <v>46</v>
      </c>
      <c r="T13"/>
      <c r="U13"/>
      <c r="V13"/>
      <c r="W13"/>
      <c r="X13"/>
      <c r="Y13"/>
    </row>
    <row r="14" spans="1:25" x14ac:dyDescent="0.2">
      <c r="A14" s="18"/>
      <c r="B14" s="16" t="s">
        <v>65</v>
      </c>
      <c r="C14" s="19" t="s">
        <v>421</v>
      </c>
      <c r="D14" s="32">
        <v>10</v>
      </c>
      <c r="E14" s="33">
        <v>0</v>
      </c>
      <c r="F14" s="34">
        <v>10</v>
      </c>
      <c r="G14" s="35">
        <v>0</v>
      </c>
      <c r="H14" s="37">
        <v>8</v>
      </c>
      <c r="I14" s="39">
        <v>29</v>
      </c>
      <c r="J14" s="40">
        <f t="shared" si="0"/>
        <v>4.25</v>
      </c>
      <c r="K14" s="36">
        <v>0</v>
      </c>
      <c r="L14" s="41">
        <f t="shared" si="1"/>
        <v>4.25</v>
      </c>
      <c r="M14" s="58">
        <v>12</v>
      </c>
      <c r="N14" s="25">
        <v>7</v>
      </c>
      <c r="O14" s="25">
        <v>6</v>
      </c>
      <c r="P14" s="25">
        <v>8</v>
      </c>
      <c r="Q14" s="25">
        <v>8</v>
      </c>
      <c r="R14" s="25">
        <v>0</v>
      </c>
      <c r="S14" s="53">
        <f t="shared" si="2"/>
        <v>29</v>
      </c>
      <c r="T14"/>
      <c r="U14"/>
      <c r="V14"/>
      <c r="W14"/>
      <c r="X14"/>
      <c r="Y14"/>
    </row>
    <row r="15" spans="1:25" x14ac:dyDescent="0.2">
      <c r="A15" s="18"/>
      <c r="B15" s="16" t="s">
        <v>66</v>
      </c>
      <c r="C15" s="16" t="s">
        <v>422</v>
      </c>
      <c r="D15" s="32">
        <v>8</v>
      </c>
      <c r="E15" s="33">
        <v>6</v>
      </c>
      <c r="F15" s="34">
        <v>14</v>
      </c>
      <c r="G15" s="35">
        <v>5</v>
      </c>
      <c r="H15" s="37">
        <v>5</v>
      </c>
      <c r="I15" s="39">
        <v>40</v>
      </c>
      <c r="J15" s="40">
        <f t="shared" si="0"/>
        <v>5.8</v>
      </c>
      <c r="K15" s="36">
        <v>9</v>
      </c>
      <c r="L15" s="41">
        <f t="shared" si="1"/>
        <v>6.7</v>
      </c>
      <c r="M15" s="58">
        <v>13</v>
      </c>
      <c r="N15" s="25">
        <v>0</v>
      </c>
      <c r="O15" s="25">
        <v>10</v>
      </c>
      <c r="P15" s="25">
        <v>10</v>
      </c>
      <c r="Q15" s="25">
        <v>10</v>
      </c>
      <c r="R15" s="25">
        <v>10</v>
      </c>
      <c r="S15" s="53">
        <f t="shared" si="2"/>
        <v>40</v>
      </c>
      <c r="T15"/>
      <c r="U15"/>
      <c r="V15"/>
      <c r="W15"/>
      <c r="X15"/>
      <c r="Y15"/>
    </row>
    <row r="16" spans="1:25" x14ac:dyDescent="0.2">
      <c r="A16" s="18"/>
      <c r="B16" s="18" t="s">
        <v>67</v>
      </c>
      <c r="C16" s="18" t="s">
        <v>423</v>
      </c>
      <c r="D16" s="32">
        <v>10</v>
      </c>
      <c r="E16" s="33">
        <v>6</v>
      </c>
      <c r="F16" s="34">
        <v>10</v>
      </c>
      <c r="G16" s="35">
        <v>5</v>
      </c>
      <c r="H16" s="37">
        <v>4</v>
      </c>
      <c r="I16" s="39">
        <v>50</v>
      </c>
      <c r="J16" s="40">
        <f t="shared" si="0"/>
        <v>6</v>
      </c>
      <c r="K16" s="36">
        <v>3</v>
      </c>
      <c r="L16" s="41">
        <f t="shared" si="1"/>
        <v>6.3</v>
      </c>
      <c r="M16" s="58">
        <v>14</v>
      </c>
      <c r="N16" s="25">
        <v>10</v>
      </c>
      <c r="O16" s="25">
        <v>10</v>
      </c>
      <c r="P16" s="25">
        <v>10</v>
      </c>
      <c r="Q16" s="25">
        <v>10</v>
      </c>
      <c r="R16" s="25">
        <v>10</v>
      </c>
      <c r="S16" s="53">
        <f t="shared" si="2"/>
        <v>50</v>
      </c>
      <c r="T16"/>
      <c r="U16"/>
      <c r="V16"/>
      <c r="W16"/>
      <c r="X16"/>
      <c r="Y16"/>
    </row>
    <row r="17" spans="1:25" x14ac:dyDescent="0.2">
      <c r="A17" s="16" t="s">
        <v>68</v>
      </c>
      <c r="B17" s="18"/>
      <c r="C17" s="16" t="s">
        <v>424</v>
      </c>
      <c r="D17" s="32">
        <v>0</v>
      </c>
      <c r="E17" s="33">
        <v>7</v>
      </c>
      <c r="F17" s="34">
        <v>8</v>
      </c>
      <c r="G17" s="35">
        <v>5</v>
      </c>
      <c r="H17" s="37">
        <v>7</v>
      </c>
      <c r="I17" s="39">
        <v>24</v>
      </c>
      <c r="J17" s="40">
        <f t="shared" si="0"/>
        <v>3.9000000000000004</v>
      </c>
      <c r="K17" s="36">
        <v>0</v>
      </c>
      <c r="L17" s="41">
        <f t="shared" si="1"/>
        <v>3.9000000000000004</v>
      </c>
      <c r="M17" s="58">
        <v>15</v>
      </c>
      <c r="N17" s="25">
        <v>5</v>
      </c>
      <c r="O17" s="25">
        <v>6</v>
      </c>
      <c r="P17" s="25">
        <v>5</v>
      </c>
      <c r="Q17" s="25">
        <v>3</v>
      </c>
      <c r="R17" s="25">
        <v>5</v>
      </c>
      <c r="S17" s="53">
        <f t="shared" si="2"/>
        <v>24</v>
      </c>
      <c r="T17"/>
      <c r="U17"/>
      <c r="V17"/>
      <c r="W17"/>
      <c r="X17"/>
      <c r="Y17"/>
    </row>
    <row r="18" spans="1:25" x14ac:dyDescent="0.2">
      <c r="A18" s="16" t="s">
        <v>69</v>
      </c>
      <c r="B18" s="18"/>
      <c r="C18" s="19" t="s">
        <v>425</v>
      </c>
      <c r="D18" s="32">
        <v>10</v>
      </c>
      <c r="E18" s="33">
        <v>10</v>
      </c>
      <c r="F18" s="34">
        <v>10</v>
      </c>
      <c r="G18" s="35">
        <v>5</v>
      </c>
      <c r="H18" s="37">
        <v>7</v>
      </c>
      <c r="I18" s="39">
        <v>49</v>
      </c>
      <c r="J18" s="40">
        <f t="shared" si="0"/>
        <v>6.65</v>
      </c>
      <c r="K18" s="36">
        <v>5</v>
      </c>
      <c r="L18" s="41">
        <f t="shared" si="1"/>
        <v>7.15</v>
      </c>
      <c r="M18" s="58">
        <v>16</v>
      </c>
      <c r="N18" s="25">
        <v>10</v>
      </c>
      <c r="O18" s="25">
        <v>10</v>
      </c>
      <c r="P18" s="25">
        <v>10</v>
      </c>
      <c r="Q18" s="25">
        <v>9</v>
      </c>
      <c r="R18" s="25">
        <v>10</v>
      </c>
      <c r="S18" s="53">
        <f t="shared" si="2"/>
        <v>49</v>
      </c>
      <c r="T18"/>
      <c r="U18"/>
      <c r="V18"/>
      <c r="W18"/>
      <c r="X18"/>
      <c r="Y18"/>
    </row>
    <row r="19" spans="1:25" x14ac:dyDescent="0.2">
      <c r="A19" s="18"/>
      <c r="B19" s="16" t="s">
        <v>70</v>
      </c>
      <c r="C19" s="16" t="s">
        <v>426</v>
      </c>
      <c r="D19" s="32">
        <v>8</v>
      </c>
      <c r="E19" s="33">
        <v>2</v>
      </c>
      <c r="F19" s="34">
        <v>0</v>
      </c>
      <c r="G19" s="35">
        <v>0</v>
      </c>
      <c r="H19" s="37">
        <v>0</v>
      </c>
      <c r="I19" s="39">
        <v>25</v>
      </c>
      <c r="J19" s="40">
        <f t="shared" si="0"/>
        <v>2.25</v>
      </c>
      <c r="K19" s="36">
        <v>0</v>
      </c>
      <c r="L19" s="41">
        <f t="shared" si="1"/>
        <v>2.25</v>
      </c>
      <c r="M19" s="58">
        <v>17</v>
      </c>
      <c r="N19" s="25">
        <v>0</v>
      </c>
      <c r="O19" s="25">
        <v>5</v>
      </c>
      <c r="P19" s="25">
        <v>10</v>
      </c>
      <c r="Q19" s="25">
        <v>10</v>
      </c>
      <c r="R19" s="25">
        <v>0</v>
      </c>
      <c r="S19" s="53">
        <f t="shared" si="2"/>
        <v>25</v>
      </c>
      <c r="T19"/>
      <c r="U19"/>
      <c r="V19"/>
      <c r="W19"/>
      <c r="X19"/>
      <c r="Y19"/>
    </row>
    <row r="20" spans="1:25" x14ac:dyDescent="0.2">
      <c r="A20" s="16" t="s">
        <v>71</v>
      </c>
      <c r="B20" s="18"/>
      <c r="C20" s="19" t="s">
        <v>427</v>
      </c>
      <c r="D20" s="32">
        <v>10</v>
      </c>
      <c r="E20" s="33">
        <v>7</v>
      </c>
      <c r="F20" s="34">
        <v>8</v>
      </c>
      <c r="G20" s="35">
        <v>5</v>
      </c>
      <c r="H20" s="37">
        <v>8</v>
      </c>
      <c r="I20" s="39">
        <v>50</v>
      </c>
      <c r="J20" s="40">
        <f t="shared" si="0"/>
        <v>6.3</v>
      </c>
      <c r="K20" s="36">
        <v>10</v>
      </c>
      <c r="L20" s="41">
        <f t="shared" si="1"/>
        <v>7.3</v>
      </c>
      <c r="M20" s="58">
        <v>18</v>
      </c>
      <c r="N20" s="25">
        <v>10</v>
      </c>
      <c r="O20" s="25">
        <v>10</v>
      </c>
      <c r="P20" s="25">
        <v>10</v>
      </c>
      <c r="Q20" s="25">
        <v>10</v>
      </c>
      <c r="R20" s="25">
        <v>10</v>
      </c>
      <c r="S20" s="53">
        <f t="shared" si="2"/>
        <v>50</v>
      </c>
      <c r="T20"/>
      <c r="U20"/>
      <c r="V20"/>
      <c r="W20"/>
      <c r="X20"/>
      <c r="Y20"/>
    </row>
    <row r="21" spans="1:25" x14ac:dyDescent="0.2">
      <c r="A21" s="18"/>
      <c r="B21" s="16" t="s">
        <v>72</v>
      </c>
      <c r="C21" s="16" t="s">
        <v>428</v>
      </c>
      <c r="D21" s="32">
        <v>10</v>
      </c>
      <c r="E21" s="33">
        <v>10</v>
      </c>
      <c r="F21" s="34">
        <v>10</v>
      </c>
      <c r="G21" s="35">
        <v>5</v>
      </c>
      <c r="H21" s="37">
        <v>6</v>
      </c>
      <c r="I21" s="39">
        <v>150</v>
      </c>
      <c r="J21" s="40">
        <f t="shared" si="0"/>
        <v>11.6</v>
      </c>
      <c r="K21" s="36">
        <v>5</v>
      </c>
      <c r="L21" s="41">
        <f t="shared" si="1"/>
        <v>12.1</v>
      </c>
      <c r="M21" s="58">
        <v>19</v>
      </c>
      <c r="N21" s="25">
        <v>110</v>
      </c>
      <c r="O21" s="25">
        <v>10</v>
      </c>
      <c r="P21" s="25">
        <v>10</v>
      </c>
      <c r="Q21" s="25">
        <v>10</v>
      </c>
      <c r="R21" s="25">
        <v>10</v>
      </c>
      <c r="S21" s="53">
        <f t="shared" si="2"/>
        <v>150</v>
      </c>
      <c r="T21"/>
      <c r="U21"/>
      <c r="V21"/>
      <c r="W21"/>
      <c r="X21"/>
      <c r="Y21"/>
    </row>
    <row r="22" spans="1:25" x14ac:dyDescent="0.2">
      <c r="A22" s="18"/>
      <c r="B22" s="16" t="s">
        <v>73</v>
      </c>
      <c r="C22" s="19" t="s">
        <v>429</v>
      </c>
      <c r="D22" s="32">
        <v>10</v>
      </c>
      <c r="E22" s="33">
        <v>5</v>
      </c>
      <c r="F22" s="34">
        <v>10</v>
      </c>
      <c r="G22" s="35">
        <v>5</v>
      </c>
      <c r="H22" s="37">
        <v>5</v>
      </c>
      <c r="I22" s="39">
        <v>34</v>
      </c>
      <c r="J22" s="40">
        <f t="shared" si="0"/>
        <v>5.2</v>
      </c>
      <c r="K22" s="36">
        <v>4</v>
      </c>
      <c r="L22" s="41">
        <f t="shared" si="1"/>
        <v>5.6000000000000005</v>
      </c>
      <c r="M22" s="58">
        <v>20</v>
      </c>
      <c r="N22" s="25">
        <v>0</v>
      </c>
      <c r="O22" s="25">
        <v>6</v>
      </c>
      <c r="P22" s="25">
        <v>8</v>
      </c>
      <c r="Q22" s="25">
        <v>10</v>
      </c>
      <c r="R22" s="25">
        <v>10</v>
      </c>
      <c r="S22" s="53">
        <f t="shared" si="2"/>
        <v>34</v>
      </c>
      <c r="T22"/>
      <c r="U22"/>
      <c r="V22"/>
      <c r="W22"/>
      <c r="X22"/>
      <c r="Y22"/>
    </row>
    <row r="23" spans="1:25" x14ac:dyDescent="0.2">
      <c r="A23" s="18"/>
      <c r="B23" s="16" t="s">
        <v>74</v>
      </c>
      <c r="C23" s="19" t="s">
        <v>430</v>
      </c>
      <c r="D23" s="32">
        <v>8</v>
      </c>
      <c r="E23" s="33">
        <v>6</v>
      </c>
      <c r="F23" s="34">
        <v>0</v>
      </c>
      <c r="G23" s="35">
        <v>0</v>
      </c>
      <c r="H23" s="37">
        <v>7</v>
      </c>
      <c r="I23" s="39">
        <v>14</v>
      </c>
      <c r="J23" s="40">
        <f t="shared" si="0"/>
        <v>2.8</v>
      </c>
      <c r="K23" s="36">
        <v>0</v>
      </c>
      <c r="L23" s="41">
        <f t="shared" si="1"/>
        <v>2.8</v>
      </c>
      <c r="M23" s="58">
        <v>21</v>
      </c>
      <c r="N23" s="25">
        <v>0</v>
      </c>
      <c r="O23" s="25">
        <v>2</v>
      </c>
      <c r="P23" s="25">
        <v>10</v>
      </c>
      <c r="Q23" s="25">
        <v>2</v>
      </c>
      <c r="R23" s="25">
        <v>0</v>
      </c>
      <c r="S23" s="53">
        <f t="shared" si="2"/>
        <v>14</v>
      </c>
      <c r="T23"/>
      <c r="U23"/>
      <c r="V23"/>
      <c r="W23"/>
      <c r="X23"/>
      <c r="Y23"/>
    </row>
    <row r="24" spans="1:25" x14ac:dyDescent="0.2">
      <c r="A24" s="16" t="s">
        <v>75</v>
      </c>
      <c r="B24" s="18"/>
      <c r="C24" s="19" t="s">
        <v>431</v>
      </c>
      <c r="D24" s="32">
        <v>0</v>
      </c>
      <c r="E24" s="33">
        <v>5</v>
      </c>
      <c r="F24" s="34">
        <v>0</v>
      </c>
      <c r="G24" s="35">
        <v>0</v>
      </c>
      <c r="H24" s="37">
        <v>7</v>
      </c>
      <c r="I24" s="39">
        <v>21</v>
      </c>
      <c r="J24" s="40">
        <f t="shared" si="0"/>
        <v>2.25</v>
      </c>
      <c r="K24" s="36">
        <v>0</v>
      </c>
      <c r="L24" s="41">
        <f t="shared" si="1"/>
        <v>2.25</v>
      </c>
      <c r="M24" s="58">
        <v>22</v>
      </c>
      <c r="N24" s="25">
        <v>2</v>
      </c>
      <c r="O24" s="25">
        <v>8</v>
      </c>
      <c r="P24" s="25">
        <v>0</v>
      </c>
      <c r="Q24" s="25">
        <v>6</v>
      </c>
      <c r="R24" s="25">
        <v>5</v>
      </c>
      <c r="S24" s="53">
        <f t="shared" si="2"/>
        <v>21</v>
      </c>
      <c r="T24"/>
      <c r="U24"/>
      <c r="V24"/>
      <c r="W24"/>
      <c r="X24"/>
      <c r="Y24"/>
    </row>
    <row r="25" spans="1:25" x14ac:dyDescent="0.2">
      <c r="A25" s="16" t="s">
        <v>76</v>
      </c>
      <c r="B25" s="18"/>
      <c r="C25" s="16" t="s">
        <v>432</v>
      </c>
      <c r="D25" s="32">
        <v>0</v>
      </c>
      <c r="E25" s="33">
        <v>0</v>
      </c>
      <c r="F25" s="34"/>
      <c r="G25" s="35">
        <v>0</v>
      </c>
      <c r="H25" s="37">
        <v>0</v>
      </c>
      <c r="I25" s="39">
        <v>2</v>
      </c>
      <c r="J25" s="40">
        <f t="shared" si="0"/>
        <v>0.1</v>
      </c>
      <c r="K25" s="36">
        <v>0</v>
      </c>
      <c r="L25" s="41">
        <f t="shared" si="1"/>
        <v>0.1</v>
      </c>
      <c r="M25" s="58">
        <v>23</v>
      </c>
      <c r="N25" s="25">
        <v>0</v>
      </c>
      <c r="O25" s="25">
        <v>0</v>
      </c>
      <c r="P25" s="25">
        <v>0</v>
      </c>
      <c r="Q25" s="25">
        <v>2</v>
      </c>
      <c r="R25" s="25">
        <v>0</v>
      </c>
      <c r="S25" s="53">
        <f t="shared" si="2"/>
        <v>2</v>
      </c>
      <c r="T25"/>
      <c r="U25"/>
      <c r="V25"/>
      <c r="W25"/>
      <c r="X25"/>
      <c r="Y25"/>
    </row>
    <row r="26" spans="1:25" x14ac:dyDescent="0.2">
      <c r="A26" s="18"/>
      <c r="B26" s="16" t="s">
        <v>78</v>
      </c>
      <c r="C26" s="16" t="s">
        <v>433</v>
      </c>
      <c r="D26" s="32">
        <v>10</v>
      </c>
      <c r="E26" s="33">
        <v>5</v>
      </c>
      <c r="F26" s="34">
        <v>0</v>
      </c>
      <c r="G26" s="35">
        <v>5</v>
      </c>
      <c r="H26" s="37">
        <v>7</v>
      </c>
      <c r="I26" s="39">
        <v>28</v>
      </c>
      <c r="J26" s="40">
        <f t="shared" si="0"/>
        <v>4.0999999999999996</v>
      </c>
      <c r="K26" s="36">
        <v>0</v>
      </c>
      <c r="L26" s="41">
        <f t="shared" si="1"/>
        <v>4.0999999999999996</v>
      </c>
      <c r="M26" s="58">
        <v>24</v>
      </c>
      <c r="N26" s="25">
        <v>4</v>
      </c>
      <c r="O26" s="25">
        <v>0</v>
      </c>
      <c r="P26" s="25">
        <v>10</v>
      </c>
      <c r="Q26" s="25">
        <v>9</v>
      </c>
      <c r="R26" s="25">
        <v>5</v>
      </c>
      <c r="S26" s="53">
        <f t="shared" si="2"/>
        <v>28</v>
      </c>
      <c r="T26"/>
      <c r="U26"/>
      <c r="V26"/>
      <c r="W26"/>
      <c r="X26"/>
      <c r="Y26"/>
    </row>
    <row r="27" spans="1:25" x14ac:dyDescent="0.2">
      <c r="A27" s="28" t="s">
        <v>79</v>
      </c>
      <c r="B27" s="29"/>
      <c r="C27" s="28" t="s">
        <v>434</v>
      </c>
      <c r="D27" s="32">
        <v>0</v>
      </c>
      <c r="E27" s="33">
        <v>0</v>
      </c>
      <c r="F27" s="34">
        <v>0</v>
      </c>
      <c r="G27" s="35">
        <v>0</v>
      </c>
      <c r="H27" s="37">
        <v>0</v>
      </c>
      <c r="I27" s="39">
        <v>0</v>
      </c>
      <c r="J27" s="40">
        <f t="shared" si="0"/>
        <v>0</v>
      </c>
      <c r="K27" s="36">
        <v>0</v>
      </c>
      <c r="L27" s="41">
        <f t="shared" si="1"/>
        <v>0</v>
      </c>
      <c r="M27" s="58">
        <v>25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53">
        <f t="shared" si="2"/>
        <v>0</v>
      </c>
      <c r="T27"/>
      <c r="U27"/>
      <c r="V27"/>
      <c r="W27"/>
      <c r="X27"/>
      <c r="Y27"/>
    </row>
    <row r="28" spans="1:25" x14ac:dyDescent="0.2">
      <c r="A28" s="18"/>
      <c r="B28" s="18" t="s">
        <v>80</v>
      </c>
      <c r="C28" s="18" t="s">
        <v>435</v>
      </c>
      <c r="D28" s="32">
        <v>0</v>
      </c>
      <c r="E28" s="33">
        <v>5</v>
      </c>
      <c r="F28" s="34">
        <v>0</v>
      </c>
      <c r="G28" s="35">
        <v>0</v>
      </c>
      <c r="H28" s="37">
        <v>0</v>
      </c>
      <c r="I28" s="39">
        <v>8</v>
      </c>
      <c r="J28" s="40">
        <f t="shared" si="0"/>
        <v>0.9</v>
      </c>
      <c r="K28" s="36">
        <v>0</v>
      </c>
      <c r="L28" s="41">
        <f t="shared" si="1"/>
        <v>0.9</v>
      </c>
      <c r="M28" s="58">
        <v>26</v>
      </c>
      <c r="N28" s="25">
        <v>6</v>
      </c>
      <c r="O28" s="25">
        <v>2</v>
      </c>
      <c r="P28" s="25">
        <v>0</v>
      </c>
      <c r="Q28" s="25">
        <v>0</v>
      </c>
      <c r="R28" s="25">
        <v>0</v>
      </c>
      <c r="S28" s="53">
        <f t="shared" si="2"/>
        <v>8</v>
      </c>
      <c r="T28"/>
      <c r="U28"/>
      <c r="V28"/>
      <c r="W28"/>
      <c r="X28"/>
      <c r="Y28"/>
    </row>
    <row r="29" spans="1:25" x14ac:dyDescent="0.2">
      <c r="A29" s="18"/>
      <c r="B29" s="16" t="s">
        <v>81</v>
      </c>
      <c r="C29" s="19" t="s">
        <v>436</v>
      </c>
      <c r="D29" s="32">
        <v>10</v>
      </c>
      <c r="E29" s="33">
        <v>3</v>
      </c>
      <c r="F29" s="34">
        <v>10</v>
      </c>
      <c r="G29" s="35">
        <v>5</v>
      </c>
      <c r="H29" s="37">
        <v>0</v>
      </c>
      <c r="I29" s="39">
        <v>15</v>
      </c>
      <c r="J29" s="40">
        <f t="shared" si="0"/>
        <v>3.55</v>
      </c>
      <c r="K29" s="36">
        <v>0</v>
      </c>
      <c r="L29" s="41">
        <f t="shared" si="1"/>
        <v>3.55</v>
      </c>
      <c r="M29" s="58">
        <v>27</v>
      </c>
      <c r="N29" s="25">
        <v>0</v>
      </c>
      <c r="O29" s="25">
        <v>3</v>
      </c>
      <c r="P29" s="25">
        <v>0</v>
      </c>
      <c r="Q29" s="25">
        <v>7</v>
      </c>
      <c r="R29" s="25">
        <v>5</v>
      </c>
      <c r="S29" s="53">
        <f t="shared" si="2"/>
        <v>15</v>
      </c>
      <c r="T29"/>
      <c r="U29"/>
      <c r="V29"/>
      <c r="W29"/>
      <c r="X29"/>
      <c r="Y29"/>
    </row>
    <row r="30" spans="1:25" x14ac:dyDescent="0.2">
      <c r="A30" s="18"/>
      <c r="B30" s="18" t="s">
        <v>82</v>
      </c>
      <c r="C30" s="18" t="s">
        <v>437</v>
      </c>
      <c r="D30" s="32">
        <v>10</v>
      </c>
      <c r="E30" s="33">
        <v>10</v>
      </c>
      <c r="F30" s="34">
        <v>10</v>
      </c>
      <c r="G30" s="35">
        <v>5</v>
      </c>
      <c r="H30" s="37">
        <v>8</v>
      </c>
      <c r="I30" s="39">
        <v>50</v>
      </c>
      <c r="J30" s="40">
        <f t="shared" si="0"/>
        <v>6.8</v>
      </c>
      <c r="K30" s="36">
        <v>2</v>
      </c>
      <c r="L30" s="41">
        <f t="shared" si="1"/>
        <v>7</v>
      </c>
      <c r="M30" s="58">
        <v>28</v>
      </c>
      <c r="N30" s="25">
        <v>10</v>
      </c>
      <c r="O30" s="25">
        <v>10</v>
      </c>
      <c r="P30" s="25">
        <v>10</v>
      </c>
      <c r="Q30" s="25">
        <v>10</v>
      </c>
      <c r="R30" s="25">
        <v>10</v>
      </c>
      <c r="S30" s="53">
        <f t="shared" si="2"/>
        <v>50</v>
      </c>
      <c r="T30"/>
      <c r="U30"/>
      <c r="V30"/>
      <c r="W30"/>
      <c r="X30"/>
      <c r="Y30"/>
    </row>
    <row r="31" spans="1:25" x14ac:dyDescent="0.2">
      <c r="A31" s="16" t="s">
        <v>83</v>
      </c>
      <c r="B31" s="18"/>
      <c r="C31" s="16" t="s">
        <v>438</v>
      </c>
      <c r="D31" s="32">
        <v>0</v>
      </c>
      <c r="E31" s="33">
        <v>5</v>
      </c>
      <c r="F31" s="34">
        <v>8</v>
      </c>
      <c r="G31" s="35">
        <v>0</v>
      </c>
      <c r="H31" s="37">
        <v>5</v>
      </c>
      <c r="I31" s="39">
        <v>16</v>
      </c>
      <c r="J31" s="40">
        <f t="shared" si="0"/>
        <v>2.6</v>
      </c>
      <c r="K31" s="36">
        <v>0</v>
      </c>
      <c r="L31" s="41">
        <f t="shared" si="1"/>
        <v>2.6</v>
      </c>
      <c r="M31" s="58">
        <v>29</v>
      </c>
      <c r="N31" s="25">
        <v>0</v>
      </c>
      <c r="O31" s="25">
        <v>9</v>
      </c>
      <c r="P31" s="25">
        <v>0</v>
      </c>
      <c r="Q31" s="25">
        <v>7</v>
      </c>
      <c r="R31" s="25">
        <v>0</v>
      </c>
      <c r="S31" s="53">
        <f t="shared" si="2"/>
        <v>16</v>
      </c>
      <c r="T31"/>
      <c r="U31"/>
      <c r="V31"/>
      <c r="W31"/>
      <c r="X31"/>
      <c r="Y31"/>
    </row>
    <row r="32" spans="1:25" x14ac:dyDescent="0.2">
      <c r="A32" s="28"/>
      <c r="B32" s="28" t="s">
        <v>84</v>
      </c>
      <c r="C32" s="28" t="s">
        <v>439</v>
      </c>
      <c r="D32" s="32">
        <v>10</v>
      </c>
      <c r="E32" s="33">
        <v>0</v>
      </c>
      <c r="F32" s="34">
        <v>0</v>
      </c>
      <c r="G32" s="35">
        <v>0</v>
      </c>
      <c r="H32" s="37">
        <v>0</v>
      </c>
      <c r="I32" s="39">
        <v>0</v>
      </c>
      <c r="J32" s="40">
        <f t="shared" si="0"/>
        <v>1</v>
      </c>
      <c r="K32" s="36">
        <v>0</v>
      </c>
      <c r="L32" s="41">
        <f t="shared" si="1"/>
        <v>1</v>
      </c>
      <c r="M32" s="58">
        <v>30</v>
      </c>
      <c r="N32" s="25">
        <v>0</v>
      </c>
      <c r="O32" s="25">
        <v>0</v>
      </c>
      <c r="P32" s="25">
        <v>0</v>
      </c>
      <c r="Q32" s="25">
        <v>0</v>
      </c>
      <c r="R32" s="25">
        <v>0</v>
      </c>
      <c r="S32" s="53">
        <f t="shared" si="2"/>
        <v>0</v>
      </c>
      <c r="T32"/>
      <c r="U32"/>
      <c r="V32"/>
      <c r="W32"/>
      <c r="X32"/>
      <c r="Y32"/>
    </row>
    <row r="33" spans="1:25" x14ac:dyDescent="0.2">
      <c r="A33" s="16" t="s">
        <v>85</v>
      </c>
      <c r="B33" s="18"/>
      <c r="C33" s="16" t="s">
        <v>440</v>
      </c>
      <c r="D33" s="32">
        <v>0</v>
      </c>
      <c r="E33" s="33">
        <v>4</v>
      </c>
      <c r="F33" s="34">
        <v>7</v>
      </c>
      <c r="G33" s="35">
        <v>0</v>
      </c>
      <c r="H33" s="37">
        <v>5</v>
      </c>
      <c r="I33" s="39">
        <v>34</v>
      </c>
      <c r="J33" s="40">
        <f t="shared" si="0"/>
        <v>3.3</v>
      </c>
      <c r="K33" s="36">
        <v>0</v>
      </c>
      <c r="L33" s="41">
        <f t="shared" si="1"/>
        <v>3.3</v>
      </c>
      <c r="M33" s="58">
        <v>31</v>
      </c>
      <c r="N33" s="25">
        <v>7</v>
      </c>
      <c r="O33" s="25">
        <v>9</v>
      </c>
      <c r="P33" s="25">
        <v>3</v>
      </c>
      <c r="Q33" s="25">
        <v>10</v>
      </c>
      <c r="R33" s="25">
        <v>5</v>
      </c>
      <c r="S33" s="53">
        <f t="shared" si="2"/>
        <v>34</v>
      </c>
      <c r="T33"/>
      <c r="U33"/>
      <c r="V33"/>
      <c r="W33"/>
      <c r="X33"/>
      <c r="Y33"/>
    </row>
    <row r="34" spans="1:25" x14ac:dyDescent="0.2">
      <c r="A34" s="18"/>
      <c r="B34" s="16" t="s">
        <v>86</v>
      </c>
      <c r="C34" s="16" t="s">
        <v>441</v>
      </c>
      <c r="D34" s="32">
        <v>10</v>
      </c>
      <c r="E34" s="33">
        <v>8</v>
      </c>
      <c r="F34" s="34">
        <v>10</v>
      </c>
      <c r="G34" s="35">
        <v>5</v>
      </c>
      <c r="H34" s="37">
        <v>5</v>
      </c>
      <c r="I34" s="39">
        <v>50</v>
      </c>
      <c r="J34" s="40">
        <f t="shared" si="0"/>
        <v>6.3</v>
      </c>
      <c r="K34" s="36">
        <v>8</v>
      </c>
      <c r="L34" s="41">
        <f t="shared" si="1"/>
        <v>7.1</v>
      </c>
      <c r="M34" s="58">
        <v>32</v>
      </c>
      <c r="N34" s="25">
        <v>10</v>
      </c>
      <c r="O34" s="25">
        <v>10</v>
      </c>
      <c r="P34" s="25">
        <v>10</v>
      </c>
      <c r="Q34" s="25">
        <v>10</v>
      </c>
      <c r="R34" s="25">
        <v>10</v>
      </c>
      <c r="S34" s="53">
        <f t="shared" si="2"/>
        <v>50</v>
      </c>
      <c r="T34"/>
      <c r="U34"/>
      <c r="V34"/>
      <c r="W34"/>
      <c r="X34"/>
      <c r="Y34"/>
    </row>
    <row r="35" spans="1:25" x14ac:dyDescent="0.2">
      <c r="A35" s="28" t="s">
        <v>87</v>
      </c>
      <c r="B35" s="28"/>
      <c r="C35" s="28" t="s">
        <v>442</v>
      </c>
      <c r="D35" s="32">
        <v>0</v>
      </c>
      <c r="E35" s="33">
        <v>0</v>
      </c>
      <c r="F35" s="34">
        <v>0</v>
      </c>
      <c r="G35" s="35">
        <v>0</v>
      </c>
      <c r="H35" s="37">
        <v>0</v>
      </c>
      <c r="I35" s="39">
        <v>0</v>
      </c>
      <c r="J35" s="40">
        <f t="shared" si="0"/>
        <v>0</v>
      </c>
      <c r="K35" s="36">
        <v>0</v>
      </c>
      <c r="L35" s="41">
        <f t="shared" si="1"/>
        <v>0</v>
      </c>
      <c r="M35" s="58">
        <v>33</v>
      </c>
      <c r="N35" s="25">
        <v>0</v>
      </c>
      <c r="O35" s="25">
        <v>0</v>
      </c>
      <c r="P35" s="25">
        <v>0</v>
      </c>
      <c r="Q35" s="25">
        <v>0</v>
      </c>
      <c r="R35" s="25">
        <v>0</v>
      </c>
      <c r="S35" s="53">
        <f t="shared" si="2"/>
        <v>0</v>
      </c>
      <c r="T35"/>
      <c r="U35"/>
      <c r="V35"/>
      <c r="W35"/>
      <c r="X35"/>
      <c r="Y35"/>
    </row>
    <row r="36" spans="1:25" x14ac:dyDescent="0.2">
      <c r="A36" s="18"/>
      <c r="B36" s="18" t="s">
        <v>88</v>
      </c>
      <c r="C36" s="18" t="s">
        <v>443</v>
      </c>
      <c r="D36" s="32">
        <v>10</v>
      </c>
      <c r="E36" s="33">
        <v>10</v>
      </c>
      <c r="F36" s="34">
        <v>10</v>
      </c>
      <c r="G36" s="35">
        <v>5</v>
      </c>
      <c r="H36" s="37">
        <v>8</v>
      </c>
      <c r="I36" s="39">
        <v>50</v>
      </c>
      <c r="J36" s="40">
        <f t="shared" si="0"/>
        <v>6.8</v>
      </c>
      <c r="K36" s="36">
        <v>1</v>
      </c>
      <c r="L36" s="41">
        <f t="shared" si="1"/>
        <v>6.8999999999999995</v>
      </c>
      <c r="M36" s="58">
        <v>34</v>
      </c>
      <c r="N36" s="25">
        <v>10</v>
      </c>
      <c r="O36" s="25">
        <v>10</v>
      </c>
      <c r="P36" s="25">
        <v>10</v>
      </c>
      <c r="Q36" s="25">
        <v>10</v>
      </c>
      <c r="R36" s="25">
        <v>10</v>
      </c>
      <c r="S36" s="53">
        <f t="shared" si="2"/>
        <v>50</v>
      </c>
      <c r="T36"/>
      <c r="U36"/>
      <c r="V36"/>
      <c r="W36"/>
      <c r="X36"/>
      <c r="Y36"/>
    </row>
    <row r="37" spans="1:25" x14ac:dyDescent="0.2">
      <c r="A37" s="18" t="s">
        <v>89</v>
      </c>
      <c r="B37" s="18"/>
      <c r="C37" s="18" t="s">
        <v>444</v>
      </c>
      <c r="D37" s="32">
        <v>0</v>
      </c>
      <c r="E37" s="33">
        <v>5</v>
      </c>
      <c r="F37" s="34">
        <v>0</v>
      </c>
      <c r="G37" s="35">
        <v>0</v>
      </c>
      <c r="H37" s="37">
        <v>6</v>
      </c>
      <c r="I37" s="39">
        <v>15</v>
      </c>
      <c r="J37" s="40">
        <f t="shared" si="0"/>
        <v>1.85</v>
      </c>
      <c r="K37" s="36">
        <v>0</v>
      </c>
      <c r="L37" s="41">
        <f t="shared" si="1"/>
        <v>1.85</v>
      </c>
      <c r="M37" s="58">
        <v>35</v>
      </c>
      <c r="N37" s="25">
        <v>0</v>
      </c>
      <c r="O37" s="25">
        <v>8</v>
      </c>
      <c r="P37" s="25">
        <v>3</v>
      </c>
      <c r="Q37" s="25">
        <v>4</v>
      </c>
      <c r="R37" s="25">
        <v>0</v>
      </c>
      <c r="S37" s="53">
        <f t="shared" si="2"/>
        <v>15</v>
      </c>
      <c r="T37"/>
      <c r="U37"/>
      <c r="V37"/>
      <c r="W37"/>
      <c r="X37"/>
      <c r="Y37"/>
    </row>
    <row r="38" spans="1:25" x14ac:dyDescent="0.2">
      <c r="A38" s="18"/>
      <c r="B38" s="18" t="s">
        <v>90</v>
      </c>
      <c r="C38" s="18" t="s">
        <v>445</v>
      </c>
      <c r="D38" s="32">
        <v>8</v>
      </c>
      <c r="E38" s="33">
        <v>7</v>
      </c>
      <c r="F38" s="34">
        <v>8</v>
      </c>
      <c r="G38" s="35">
        <v>0</v>
      </c>
      <c r="H38" s="37">
        <v>6</v>
      </c>
      <c r="I38" s="39">
        <v>25</v>
      </c>
      <c r="J38" s="40">
        <f t="shared" si="0"/>
        <v>4.1500000000000004</v>
      </c>
      <c r="K38" s="36">
        <v>0</v>
      </c>
      <c r="L38" s="41">
        <f t="shared" si="1"/>
        <v>4.1500000000000004</v>
      </c>
      <c r="M38" s="58">
        <v>36</v>
      </c>
      <c r="N38" s="25">
        <v>5</v>
      </c>
      <c r="O38" s="25">
        <v>6</v>
      </c>
      <c r="P38" s="25">
        <v>8</v>
      </c>
      <c r="Q38" s="25">
        <v>6</v>
      </c>
      <c r="R38" s="25">
        <v>0</v>
      </c>
      <c r="S38" s="53">
        <f t="shared" si="2"/>
        <v>25</v>
      </c>
      <c r="T38"/>
      <c r="U38"/>
      <c r="V38"/>
      <c r="W38"/>
      <c r="X38"/>
      <c r="Y38"/>
    </row>
    <row r="39" spans="1:25" x14ac:dyDescent="0.2">
      <c r="A39" s="18"/>
      <c r="B39" s="18" t="s">
        <v>91</v>
      </c>
      <c r="C39" s="18" t="s">
        <v>446</v>
      </c>
      <c r="D39" s="32">
        <v>10</v>
      </c>
      <c r="E39" s="33">
        <v>10</v>
      </c>
      <c r="F39" s="34">
        <v>10</v>
      </c>
      <c r="G39" s="35">
        <v>5</v>
      </c>
      <c r="H39" s="37">
        <v>9</v>
      </c>
      <c r="I39" s="39">
        <v>49</v>
      </c>
      <c r="J39" s="40">
        <f t="shared" si="0"/>
        <v>6.8500000000000005</v>
      </c>
      <c r="K39" s="36">
        <v>10</v>
      </c>
      <c r="L39" s="41">
        <f t="shared" si="1"/>
        <v>7.8500000000000005</v>
      </c>
      <c r="M39" s="58">
        <v>37</v>
      </c>
      <c r="N39" s="25">
        <v>10</v>
      </c>
      <c r="O39" s="25">
        <v>10</v>
      </c>
      <c r="P39" s="25">
        <v>9</v>
      </c>
      <c r="Q39" s="25">
        <v>10</v>
      </c>
      <c r="R39" s="25">
        <v>10</v>
      </c>
      <c r="S39" s="53">
        <f t="shared" si="2"/>
        <v>49</v>
      </c>
      <c r="T39"/>
      <c r="U39"/>
      <c r="V39"/>
      <c r="W39"/>
      <c r="X39"/>
      <c r="Y39"/>
    </row>
    <row r="40" spans="1:25" x14ac:dyDescent="0.2">
      <c r="A40" s="18"/>
      <c r="B40" s="16" t="s">
        <v>92</v>
      </c>
      <c r="C40" s="16" t="s">
        <v>447</v>
      </c>
      <c r="D40" s="32">
        <v>0</v>
      </c>
      <c r="E40" s="33">
        <v>0</v>
      </c>
      <c r="F40" s="34">
        <v>0</v>
      </c>
      <c r="G40" s="35">
        <v>0</v>
      </c>
      <c r="H40" s="37">
        <v>0</v>
      </c>
      <c r="I40" s="39">
        <v>5</v>
      </c>
      <c r="J40" s="40">
        <f t="shared" si="0"/>
        <v>0.25</v>
      </c>
      <c r="K40" s="36">
        <v>0</v>
      </c>
      <c r="L40" s="41">
        <f t="shared" si="1"/>
        <v>0.25</v>
      </c>
      <c r="M40" s="58">
        <v>38</v>
      </c>
      <c r="N40" s="25">
        <v>5</v>
      </c>
      <c r="O40" s="25">
        <v>0</v>
      </c>
      <c r="P40" s="25">
        <v>0</v>
      </c>
      <c r="Q40" s="25">
        <v>0</v>
      </c>
      <c r="R40" s="25">
        <v>0</v>
      </c>
      <c r="S40" s="53">
        <f t="shared" si="2"/>
        <v>5</v>
      </c>
      <c r="T40"/>
      <c r="U40"/>
      <c r="V40"/>
      <c r="W40"/>
      <c r="X40"/>
      <c r="Y40"/>
    </row>
    <row r="41" spans="1:25" x14ac:dyDescent="0.2">
      <c r="A41" s="18"/>
      <c r="B41" s="18" t="s">
        <v>407</v>
      </c>
      <c r="C41" s="18" t="s">
        <v>448</v>
      </c>
      <c r="D41" s="32">
        <v>10</v>
      </c>
      <c r="E41" s="33">
        <v>10</v>
      </c>
      <c r="F41" s="34">
        <v>10</v>
      </c>
      <c r="G41" s="35">
        <v>5</v>
      </c>
      <c r="H41" s="37">
        <v>9</v>
      </c>
      <c r="I41" s="39">
        <v>50</v>
      </c>
      <c r="J41" s="40">
        <f t="shared" si="0"/>
        <v>6.9</v>
      </c>
      <c r="K41" s="36">
        <v>10</v>
      </c>
      <c r="L41" s="41">
        <f t="shared" si="1"/>
        <v>7.9</v>
      </c>
      <c r="M41" s="58">
        <v>39</v>
      </c>
      <c r="N41" s="25">
        <v>10</v>
      </c>
      <c r="O41" s="25">
        <v>10</v>
      </c>
      <c r="P41" s="25">
        <v>10</v>
      </c>
      <c r="Q41" s="25">
        <v>10</v>
      </c>
      <c r="R41" s="25">
        <v>10</v>
      </c>
      <c r="S41" s="53">
        <f t="shared" si="2"/>
        <v>50</v>
      </c>
      <c r="T41"/>
      <c r="U41"/>
      <c r="V41"/>
      <c r="W41"/>
      <c r="X41"/>
      <c r="Y41"/>
    </row>
    <row r="42" spans="1:25" x14ac:dyDescent="0.2">
      <c r="A42" s="18"/>
      <c r="B42" s="16" t="s">
        <v>408</v>
      </c>
      <c r="C42" s="16" t="s">
        <v>449</v>
      </c>
      <c r="D42" s="32">
        <v>10</v>
      </c>
      <c r="E42" s="33">
        <v>5</v>
      </c>
      <c r="F42" s="34">
        <v>8</v>
      </c>
      <c r="G42" s="35">
        <v>0</v>
      </c>
      <c r="H42" s="37">
        <v>0</v>
      </c>
      <c r="I42" s="39">
        <v>36</v>
      </c>
      <c r="J42" s="40">
        <f t="shared" si="0"/>
        <v>4.0999999999999996</v>
      </c>
      <c r="K42" s="36">
        <v>0</v>
      </c>
      <c r="L42" s="41">
        <f t="shared" si="1"/>
        <v>4.0999999999999996</v>
      </c>
      <c r="M42" s="58">
        <v>40</v>
      </c>
      <c r="N42" s="25">
        <v>0</v>
      </c>
      <c r="O42" s="25">
        <v>6</v>
      </c>
      <c r="P42" s="25">
        <v>10</v>
      </c>
      <c r="Q42" s="25">
        <v>10</v>
      </c>
      <c r="R42" s="25">
        <v>10</v>
      </c>
      <c r="S42" s="53">
        <f t="shared" si="2"/>
        <v>36</v>
      </c>
      <c r="T42"/>
      <c r="U42"/>
      <c r="V42"/>
      <c r="W42"/>
      <c r="X42"/>
      <c r="Y42"/>
    </row>
    <row r="43" spans="1:25" x14ac:dyDescent="0.2">
      <c r="A43" s="18"/>
      <c r="B43" s="18" t="s">
        <v>95</v>
      </c>
      <c r="C43" s="18" t="s">
        <v>450</v>
      </c>
      <c r="D43" s="32">
        <v>10</v>
      </c>
      <c r="E43" s="33">
        <v>7</v>
      </c>
      <c r="F43" s="34">
        <v>10</v>
      </c>
      <c r="G43" s="35">
        <v>5</v>
      </c>
      <c r="H43" s="37">
        <v>6</v>
      </c>
      <c r="I43" s="39">
        <v>49</v>
      </c>
      <c r="J43" s="40">
        <f t="shared" si="0"/>
        <v>6.25</v>
      </c>
      <c r="K43" s="36">
        <v>23</v>
      </c>
      <c r="L43" s="41">
        <f t="shared" si="1"/>
        <v>8.5500000000000007</v>
      </c>
      <c r="M43" s="58">
        <v>41</v>
      </c>
      <c r="N43" s="25">
        <v>10</v>
      </c>
      <c r="O43" s="25">
        <v>10</v>
      </c>
      <c r="P43" s="25">
        <v>10</v>
      </c>
      <c r="Q43" s="25">
        <v>9</v>
      </c>
      <c r="R43" s="25">
        <v>10</v>
      </c>
      <c r="S43" s="53">
        <f t="shared" si="2"/>
        <v>49</v>
      </c>
      <c r="T43"/>
      <c r="U43"/>
      <c r="V43"/>
      <c r="W43"/>
      <c r="X43"/>
      <c r="Y43"/>
    </row>
    <row r="44" spans="1:25" x14ac:dyDescent="0.2">
      <c r="A44" s="16" t="s">
        <v>96</v>
      </c>
      <c r="B44" s="18"/>
      <c r="C44" s="16" t="s">
        <v>451</v>
      </c>
      <c r="D44" s="32">
        <v>8</v>
      </c>
      <c r="E44" s="33">
        <v>5</v>
      </c>
      <c r="F44" s="34">
        <v>0</v>
      </c>
      <c r="G44" s="35">
        <v>0</v>
      </c>
      <c r="H44" s="37">
        <v>4</v>
      </c>
      <c r="I44" s="39">
        <v>20</v>
      </c>
      <c r="J44" s="40">
        <f t="shared" si="0"/>
        <v>2.7</v>
      </c>
      <c r="K44" s="36">
        <v>0</v>
      </c>
      <c r="L44" s="41">
        <f t="shared" si="1"/>
        <v>2.7</v>
      </c>
      <c r="M44" s="58">
        <v>42</v>
      </c>
      <c r="N44" s="25">
        <v>0</v>
      </c>
      <c r="O44" s="25">
        <v>8</v>
      </c>
      <c r="P44" s="25">
        <v>3</v>
      </c>
      <c r="Q44" s="25">
        <v>9</v>
      </c>
      <c r="R44" s="25">
        <v>0</v>
      </c>
      <c r="S44" s="53">
        <f t="shared" si="2"/>
        <v>20</v>
      </c>
      <c r="T44"/>
      <c r="U44"/>
      <c r="V44"/>
      <c r="W44"/>
      <c r="X44"/>
      <c r="Y44"/>
    </row>
    <row r="45" spans="1:25" x14ac:dyDescent="0.2">
      <c r="A45" s="16" t="s">
        <v>97</v>
      </c>
      <c r="B45" s="18"/>
      <c r="C45" s="16" t="s">
        <v>452</v>
      </c>
      <c r="D45" s="32">
        <v>0</v>
      </c>
      <c r="E45" s="33">
        <v>0</v>
      </c>
      <c r="F45" s="34">
        <v>0</v>
      </c>
      <c r="G45" s="35">
        <v>0</v>
      </c>
      <c r="H45" s="37">
        <v>0</v>
      </c>
      <c r="I45" s="39">
        <v>0</v>
      </c>
      <c r="J45" s="40">
        <f t="shared" si="0"/>
        <v>0</v>
      </c>
      <c r="K45" s="36">
        <v>0</v>
      </c>
      <c r="L45" s="41">
        <f t="shared" si="1"/>
        <v>0</v>
      </c>
      <c r="M45" s="58">
        <v>43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53">
        <f t="shared" si="2"/>
        <v>0</v>
      </c>
      <c r="T45"/>
      <c r="U45"/>
      <c r="V45"/>
      <c r="W45"/>
      <c r="X45"/>
      <c r="Y45"/>
    </row>
    <row r="46" spans="1:25" x14ac:dyDescent="0.2">
      <c r="A46" s="18"/>
      <c r="B46" s="16" t="s">
        <v>98</v>
      </c>
      <c r="C46" s="16" t="s">
        <v>453</v>
      </c>
      <c r="D46" s="32">
        <v>8</v>
      </c>
      <c r="E46" s="33">
        <v>7</v>
      </c>
      <c r="F46" s="34">
        <v>10</v>
      </c>
      <c r="G46" s="35">
        <v>5</v>
      </c>
      <c r="H46" s="37">
        <v>4</v>
      </c>
      <c r="I46" s="39">
        <v>18</v>
      </c>
      <c r="J46" s="40">
        <f t="shared" si="0"/>
        <v>4.3</v>
      </c>
      <c r="K46" s="36">
        <v>0</v>
      </c>
      <c r="L46" s="41">
        <f t="shared" si="1"/>
        <v>4.3</v>
      </c>
      <c r="M46" s="58">
        <v>44</v>
      </c>
      <c r="N46" s="25">
        <v>0</v>
      </c>
      <c r="O46" s="25">
        <v>0</v>
      </c>
      <c r="P46" s="25">
        <v>10</v>
      </c>
      <c r="Q46" s="25">
        <v>8</v>
      </c>
      <c r="R46" s="25">
        <v>0</v>
      </c>
      <c r="S46" s="53">
        <f t="shared" si="2"/>
        <v>18</v>
      </c>
      <c r="T46"/>
      <c r="U46"/>
      <c r="V46"/>
      <c r="W46"/>
      <c r="X46"/>
      <c r="Y46"/>
    </row>
    <row r="47" spans="1:25" x14ac:dyDescent="0.2">
      <c r="A47" s="18"/>
      <c r="B47" s="16" t="s">
        <v>99</v>
      </c>
      <c r="C47" s="16" t="s">
        <v>454</v>
      </c>
      <c r="D47" s="32">
        <v>10</v>
      </c>
      <c r="E47" s="33">
        <v>7</v>
      </c>
      <c r="F47" s="34">
        <v>10</v>
      </c>
      <c r="G47" s="35">
        <v>5</v>
      </c>
      <c r="H47" s="37">
        <v>6</v>
      </c>
      <c r="I47" s="39">
        <v>50</v>
      </c>
      <c r="J47" s="40">
        <f t="shared" si="0"/>
        <v>6.3000000000000007</v>
      </c>
      <c r="K47" s="36">
        <v>5</v>
      </c>
      <c r="L47" s="41">
        <f t="shared" si="1"/>
        <v>6.8000000000000007</v>
      </c>
      <c r="M47" s="58">
        <v>45</v>
      </c>
      <c r="N47" s="25">
        <v>10</v>
      </c>
      <c r="O47" s="25">
        <v>10</v>
      </c>
      <c r="P47" s="25">
        <v>10</v>
      </c>
      <c r="Q47" s="25">
        <v>10</v>
      </c>
      <c r="R47" s="25">
        <v>10</v>
      </c>
      <c r="S47" s="53">
        <f t="shared" si="2"/>
        <v>50</v>
      </c>
      <c r="T47"/>
      <c r="U47"/>
      <c r="V47"/>
      <c r="W47"/>
      <c r="X47"/>
      <c r="Y47"/>
    </row>
    <row r="48" spans="1:25" x14ac:dyDescent="0.2">
      <c r="A48" s="18"/>
      <c r="B48" s="16" t="s">
        <v>100</v>
      </c>
      <c r="C48" s="16" t="s">
        <v>455</v>
      </c>
      <c r="D48" s="32">
        <v>10</v>
      </c>
      <c r="E48" s="33">
        <v>7</v>
      </c>
      <c r="F48" s="34">
        <v>0</v>
      </c>
      <c r="G48" s="35">
        <v>0</v>
      </c>
      <c r="H48" s="37">
        <v>8</v>
      </c>
      <c r="I48" s="39">
        <v>20</v>
      </c>
      <c r="J48" s="40">
        <f t="shared" si="0"/>
        <v>3.5</v>
      </c>
      <c r="K48" s="36">
        <v>2</v>
      </c>
      <c r="L48" s="41">
        <f t="shared" si="1"/>
        <v>3.7</v>
      </c>
      <c r="M48" s="58">
        <v>46</v>
      </c>
      <c r="N48" s="25">
        <v>0</v>
      </c>
      <c r="O48" s="25">
        <v>8</v>
      </c>
      <c r="P48" s="25">
        <v>10</v>
      </c>
      <c r="Q48" s="25">
        <v>2</v>
      </c>
      <c r="R48" s="25">
        <v>0</v>
      </c>
      <c r="S48" s="53">
        <f t="shared" si="2"/>
        <v>20</v>
      </c>
      <c r="T48"/>
      <c r="U48"/>
      <c r="V48"/>
      <c r="W48"/>
      <c r="X48"/>
      <c r="Y48"/>
    </row>
    <row r="49" spans="1:25" x14ac:dyDescent="0.2">
      <c r="A49" s="16" t="s">
        <v>101</v>
      </c>
      <c r="B49" s="18"/>
      <c r="C49" s="16" t="s">
        <v>456</v>
      </c>
      <c r="D49" s="32">
        <v>0</v>
      </c>
      <c r="E49" s="33">
        <v>0</v>
      </c>
      <c r="F49" s="34">
        <v>0</v>
      </c>
      <c r="G49" s="35">
        <v>0</v>
      </c>
      <c r="H49" s="37">
        <v>0</v>
      </c>
      <c r="I49" s="39">
        <v>0</v>
      </c>
      <c r="J49" s="40">
        <f t="shared" si="0"/>
        <v>0</v>
      </c>
      <c r="K49" s="36">
        <v>0</v>
      </c>
      <c r="L49" s="41">
        <f t="shared" si="1"/>
        <v>0</v>
      </c>
      <c r="M49" s="58">
        <v>47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53">
        <f t="shared" si="2"/>
        <v>0</v>
      </c>
      <c r="T49"/>
      <c r="U49"/>
      <c r="V49"/>
      <c r="W49"/>
      <c r="X49"/>
      <c r="Y49"/>
    </row>
    <row r="50" spans="1:25" x14ac:dyDescent="0.2">
      <c r="A50" s="16" t="s">
        <v>102</v>
      </c>
      <c r="B50" s="18"/>
      <c r="C50" s="16" t="s">
        <v>457</v>
      </c>
      <c r="D50" s="32">
        <v>8</v>
      </c>
      <c r="E50" s="33">
        <v>6</v>
      </c>
      <c r="F50" s="34">
        <v>8</v>
      </c>
      <c r="G50" s="35">
        <v>5</v>
      </c>
      <c r="H50" s="37">
        <v>5</v>
      </c>
      <c r="I50" s="39">
        <v>37</v>
      </c>
      <c r="J50" s="40">
        <f t="shared" si="0"/>
        <v>5.0500000000000007</v>
      </c>
      <c r="K50" s="36">
        <v>0</v>
      </c>
      <c r="L50" s="41">
        <f t="shared" si="1"/>
        <v>5.0500000000000007</v>
      </c>
      <c r="M50" s="58">
        <v>48</v>
      </c>
      <c r="N50" s="25">
        <v>6</v>
      </c>
      <c r="O50" s="25">
        <v>8</v>
      </c>
      <c r="P50" s="25">
        <v>10</v>
      </c>
      <c r="Q50" s="25">
        <v>8</v>
      </c>
      <c r="R50" s="25">
        <v>5</v>
      </c>
      <c r="S50" s="53">
        <f t="shared" si="2"/>
        <v>37</v>
      </c>
      <c r="T50"/>
      <c r="U50"/>
      <c r="V50"/>
      <c r="W50"/>
      <c r="X50"/>
      <c r="Y50"/>
    </row>
    <row r="51" spans="1:25" x14ac:dyDescent="0.2">
      <c r="A51" s="18"/>
      <c r="B51" s="16" t="s">
        <v>409</v>
      </c>
      <c r="C51" s="16" t="s">
        <v>458</v>
      </c>
      <c r="D51" s="32">
        <v>8</v>
      </c>
      <c r="E51" s="33">
        <v>0</v>
      </c>
      <c r="F51" s="34">
        <v>10</v>
      </c>
      <c r="G51" s="35">
        <v>5</v>
      </c>
      <c r="H51" s="37">
        <v>4</v>
      </c>
      <c r="I51" s="39">
        <v>29</v>
      </c>
      <c r="J51" s="40">
        <f t="shared" si="0"/>
        <v>4.1499999999999995</v>
      </c>
      <c r="K51" s="36">
        <v>10</v>
      </c>
      <c r="L51" s="41">
        <f t="shared" si="1"/>
        <v>5.1499999999999995</v>
      </c>
      <c r="M51" s="58">
        <v>49</v>
      </c>
      <c r="N51" s="25">
        <v>8</v>
      </c>
      <c r="O51" s="25">
        <v>6</v>
      </c>
      <c r="P51" s="25">
        <v>8</v>
      </c>
      <c r="Q51" s="25">
        <v>2</v>
      </c>
      <c r="R51" s="25">
        <v>5</v>
      </c>
      <c r="S51" s="53">
        <f t="shared" si="2"/>
        <v>29</v>
      </c>
      <c r="T51"/>
      <c r="U51"/>
      <c r="V51"/>
      <c r="W51"/>
      <c r="X51"/>
      <c r="Y51"/>
    </row>
    <row r="52" spans="1:25" x14ac:dyDescent="0.2">
      <c r="A52" s="16" t="s">
        <v>104</v>
      </c>
      <c r="B52" s="18"/>
      <c r="C52" s="16" t="s">
        <v>459</v>
      </c>
      <c r="D52" s="32">
        <v>8</v>
      </c>
      <c r="E52" s="33">
        <v>8</v>
      </c>
      <c r="F52" s="34">
        <v>0</v>
      </c>
      <c r="G52" s="35">
        <v>0</v>
      </c>
      <c r="H52" s="37">
        <v>0</v>
      </c>
      <c r="I52" s="39">
        <v>18</v>
      </c>
      <c r="J52" s="40">
        <f t="shared" si="0"/>
        <v>2.5</v>
      </c>
      <c r="K52" s="36">
        <v>0</v>
      </c>
      <c r="L52" s="41">
        <f t="shared" si="1"/>
        <v>2.5</v>
      </c>
      <c r="M52" s="58">
        <v>50</v>
      </c>
      <c r="N52" s="25">
        <v>8</v>
      </c>
      <c r="O52" s="25">
        <v>0</v>
      </c>
      <c r="P52" s="25">
        <v>5</v>
      </c>
      <c r="Q52" s="25">
        <v>5</v>
      </c>
      <c r="R52" s="25">
        <v>0</v>
      </c>
      <c r="S52" s="53">
        <f t="shared" si="2"/>
        <v>18</v>
      </c>
      <c r="T52"/>
      <c r="U52"/>
      <c r="V52"/>
      <c r="W52"/>
      <c r="X52"/>
      <c r="Y52"/>
    </row>
    <row r="53" spans="1:25" x14ac:dyDescent="0.2">
      <c r="A53" s="18" t="s">
        <v>105</v>
      </c>
      <c r="B53" s="18"/>
      <c r="C53" s="18" t="s">
        <v>460</v>
      </c>
      <c r="D53" s="32">
        <v>0</v>
      </c>
      <c r="E53" s="33">
        <v>7</v>
      </c>
      <c r="F53" s="34">
        <v>0</v>
      </c>
      <c r="G53" s="35">
        <v>3</v>
      </c>
      <c r="H53" s="37">
        <v>3</v>
      </c>
      <c r="I53" s="39">
        <v>20</v>
      </c>
      <c r="J53" s="40">
        <f t="shared" si="0"/>
        <v>2.2999999999999998</v>
      </c>
      <c r="K53" s="36">
        <v>0</v>
      </c>
      <c r="L53" s="41">
        <f t="shared" si="1"/>
        <v>2.2999999999999998</v>
      </c>
      <c r="M53" s="58">
        <v>51</v>
      </c>
      <c r="N53" s="25">
        <v>0</v>
      </c>
      <c r="O53" s="25">
        <v>0</v>
      </c>
      <c r="P53" s="25">
        <v>5</v>
      </c>
      <c r="Q53" s="25">
        <v>5</v>
      </c>
      <c r="R53" s="25">
        <v>10</v>
      </c>
      <c r="S53" s="53">
        <f t="shared" si="2"/>
        <v>20</v>
      </c>
      <c r="T53"/>
      <c r="U53"/>
      <c r="V53"/>
      <c r="W53"/>
      <c r="X53"/>
      <c r="Y53"/>
    </row>
    <row r="54" spans="1:25" x14ac:dyDescent="0.2">
      <c r="A54" s="25"/>
      <c r="B54" s="25"/>
      <c r="C54" s="18" t="s">
        <v>466</v>
      </c>
      <c r="D54" s="32">
        <v>0</v>
      </c>
      <c r="E54" s="33">
        <v>6</v>
      </c>
      <c r="F54" s="34">
        <v>8</v>
      </c>
      <c r="G54" s="35">
        <v>5</v>
      </c>
      <c r="H54" s="37">
        <v>4</v>
      </c>
      <c r="I54" s="39">
        <v>32</v>
      </c>
      <c r="J54" s="40">
        <f t="shared" si="0"/>
        <v>3.9</v>
      </c>
      <c r="K54" s="36">
        <v>0</v>
      </c>
      <c r="L54" s="41">
        <f t="shared" si="1"/>
        <v>3.9</v>
      </c>
      <c r="M54" s="58">
        <v>52</v>
      </c>
      <c r="N54" s="25">
        <v>0</v>
      </c>
      <c r="O54" s="25">
        <v>8</v>
      </c>
      <c r="P54" s="25">
        <v>8</v>
      </c>
      <c r="Q54" s="25">
        <v>6</v>
      </c>
      <c r="R54" s="25">
        <v>10</v>
      </c>
      <c r="S54" s="53">
        <f t="shared" si="2"/>
        <v>32</v>
      </c>
      <c r="T54"/>
      <c r="U54"/>
      <c r="V54"/>
      <c r="W54"/>
      <c r="X54"/>
      <c r="Y54"/>
    </row>
    <row r="55" spans="1:25" x14ac:dyDescent="0.2">
      <c r="A55"/>
      <c r="B55"/>
      <c r="I55"/>
      <c r="J55"/>
      <c r="K55"/>
      <c r="L55"/>
      <c r="M55"/>
      <c r="N55"/>
      <c r="O55"/>
      <c r="P55"/>
      <c r="Q55"/>
    </row>
  </sheetData>
  <mergeCells count="2">
    <mergeCell ref="A1:L1"/>
    <mergeCell ref="M1:S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1° C</vt:lpstr>
      <vt:lpstr>1° D</vt:lpstr>
      <vt:lpstr>1° E</vt:lpstr>
      <vt:lpstr>3° C</vt:lpstr>
      <vt:lpstr>3° 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gatejeca</cp:lastModifiedBy>
  <cp:lastPrinted>2015-04-10T00:34:34Z</cp:lastPrinted>
  <dcterms:created xsi:type="dcterms:W3CDTF">2014-10-05T14:38:49Z</dcterms:created>
  <dcterms:modified xsi:type="dcterms:W3CDTF">2015-04-10T00:34:51Z</dcterms:modified>
</cp:coreProperties>
</file>