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0490" windowHeight="7095" activeTab="3"/>
  </bookViews>
  <sheets>
    <sheet name="Hoja1" sheetId="1" r:id="rId1"/>
    <sheet name="Hoja2" sheetId="2" r:id="rId2"/>
    <sheet name="Hoja2 (2)" sheetId="4" r:id="rId3"/>
    <sheet name="Hoja3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H68" i="5" l="1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F68" i="5"/>
  <c r="F66" i="5"/>
  <c r="F64" i="5"/>
  <c r="F62" i="5"/>
  <c r="F60" i="5"/>
  <c r="F58" i="5"/>
  <c r="F56" i="5"/>
  <c r="F54" i="5"/>
  <c r="F52" i="5"/>
  <c r="B67" i="5"/>
  <c r="B65" i="5"/>
  <c r="B63" i="5"/>
  <c r="B61" i="5"/>
  <c r="B59" i="5"/>
  <c r="B57" i="5"/>
  <c r="B55" i="5"/>
  <c r="B53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K26" i="5"/>
  <c r="K24" i="5"/>
  <c r="K22" i="5"/>
  <c r="K20" i="5"/>
  <c r="K18" i="5"/>
  <c r="K16" i="5"/>
  <c r="K14" i="5"/>
  <c r="K12" i="5"/>
  <c r="K10" i="5"/>
  <c r="K8" i="5"/>
  <c r="K6" i="5"/>
  <c r="O26" i="5"/>
  <c r="O24" i="5"/>
  <c r="O22" i="5"/>
  <c r="O20" i="5"/>
  <c r="O18" i="5"/>
  <c r="O16" i="5"/>
  <c r="O14" i="5"/>
  <c r="O12" i="5"/>
  <c r="O10" i="5"/>
  <c r="O8" i="5"/>
  <c r="O6" i="5"/>
  <c r="H6" i="5"/>
  <c r="H10" i="5"/>
  <c r="H14" i="5"/>
  <c r="H18" i="5"/>
  <c r="H22" i="5"/>
  <c r="H26" i="5"/>
  <c r="H30" i="5"/>
  <c r="D67" i="5"/>
  <c r="D65" i="5"/>
  <c r="D63" i="5"/>
  <c r="D61" i="5"/>
  <c r="D59" i="5"/>
  <c r="D57" i="5"/>
  <c r="D55" i="5"/>
  <c r="D53" i="5"/>
  <c r="F67" i="5"/>
  <c r="F63" i="5"/>
  <c r="F59" i="5"/>
  <c r="F55" i="5"/>
  <c r="B68" i="5"/>
  <c r="B64" i="5"/>
  <c r="B60" i="5"/>
  <c r="B56" i="5"/>
  <c r="B52" i="5"/>
  <c r="M46" i="5"/>
  <c r="M44" i="5"/>
  <c r="M42" i="5"/>
  <c r="M40" i="5"/>
  <c r="M38" i="5"/>
  <c r="M36" i="5"/>
  <c r="M34" i="5"/>
  <c r="M32" i="5"/>
  <c r="M30" i="5"/>
  <c r="M28" i="5"/>
  <c r="M26" i="5"/>
  <c r="M24" i="5"/>
  <c r="M22" i="5"/>
  <c r="M20" i="5"/>
  <c r="M18" i="5"/>
  <c r="M16" i="5"/>
  <c r="M14" i="5"/>
  <c r="M12" i="5"/>
  <c r="M10" i="5"/>
  <c r="M8" i="5"/>
  <c r="M6" i="5"/>
  <c r="K47" i="5"/>
  <c r="K45" i="5"/>
  <c r="K43" i="5"/>
  <c r="K41" i="5"/>
  <c r="K39" i="5"/>
  <c r="K37" i="5"/>
  <c r="K35" i="5"/>
  <c r="K33" i="5"/>
  <c r="K31" i="5"/>
  <c r="K29" i="5"/>
  <c r="K27" i="5"/>
  <c r="K23" i="5"/>
  <c r="K19" i="5"/>
  <c r="K15" i="5"/>
  <c r="K11" i="5"/>
  <c r="K7" i="5"/>
  <c r="O25" i="5"/>
  <c r="O21" i="5"/>
  <c r="O17" i="5"/>
  <c r="O13" i="5"/>
  <c r="O9" i="5"/>
  <c r="O5" i="5"/>
  <c r="H12" i="5"/>
  <c r="H20" i="5"/>
  <c r="H28" i="5"/>
  <c r="H34" i="5"/>
  <c r="H38" i="5"/>
  <c r="H42" i="5"/>
  <c r="H46" i="5"/>
  <c r="H9" i="5"/>
  <c r="H13" i="5"/>
  <c r="H17" i="5"/>
  <c r="H21" i="5"/>
  <c r="H25" i="5"/>
  <c r="H29" i="5"/>
  <c r="H33" i="5"/>
  <c r="H37" i="5"/>
  <c r="H41" i="5"/>
  <c r="H45" i="5"/>
  <c r="H5" i="5"/>
  <c r="F8" i="5"/>
  <c r="F12" i="5"/>
  <c r="F16" i="5"/>
  <c r="F20" i="5"/>
  <c r="F24" i="5"/>
  <c r="F28" i="5"/>
  <c r="F32" i="5"/>
  <c r="F38" i="5"/>
  <c r="F42" i="5"/>
  <c r="F46" i="5"/>
  <c r="F9" i="5"/>
  <c r="F13" i="5"/>
  <c r="F17" i="5"/>
  <c r="F21" i="5"/>
  <c r="F25" i="5"/>
  <c r="F29" i="5"/>
  <c r="F33" i="5"/>
  <c r="F39" i="5"/>
  <c r="F43" i="5"/>
  <c r="F47" i="5"/>
  <c r="D6" i="5"/>
  <c r="D10" i="5"/>
  <c r="D14" i="5"/>
  <c r="D18" i="5"/>
  <c r="D22" i="5"/>
  <c r="D26" i="5"/>
  <c r="D30" i="5"/>
  <c r="D34" i="5"/>
  <c r="D38" i="5"/>
  <c r="D42" i="5"/>
  <c r="D46" i="5"/>
  <c r="D9" i="5"/>
  <c r="D13" i="5"/>
  <c r="D17" i="5"/>
  <c r="D21" i="5"/>
  <c r="D25" i="5"/>
  <c r="D29" i="5"/>
  <c r="D33" i="5"/>
  <c r="D37" i="5"/>
  <c r="D41" i="5"/>
  <c r="D45" i="5"/>
  <c r="D5" i="5"/>
  <c r="B13" i="5"/>
  <c r="B17" i="5"/>
  <c r="B21" i="5"/>
  <c r="B25" i="5"/>
  <c r="B29" i="5"/>
  <c r="B33" i="5"/>
  <c r="B37" i="5"/>
  <c r="D68" i="5"/>
  <c r="D64" i="5"/>
  <c r="D60" i="5"/>
  <c r="D56" i="5"/>
  <c r="D52" i="5"/>
  <c r="F61" i="5"/>
  <c r="F53" i="5"/>
  <c r="B62" i="5"/>
  <c r="B54" i="5"/>
  <c r="M45" i="5"/>
  <c r="M41" i="5"/>
  <c r="M37" i="5"/>
  <c r="M33" i="5"/>
  <c r="M29" i="5"/>
  <c r="M25" i="5"/>
  <c r="M21" i="5"/>
  <c r="M17" i="5"/>
  <c r="M13" i="5"/>
  <c r="M9" i="5"/>
  <c r="M5" i="5"/>
  <c r="K44" i="5"/>
  <c r="K40" i="5"/>
  <c r="K36" i="5"/>
  <c r="K32" i="5"/>
  <c r="K28" i="5"/>
  <c r="K21" i="5"/>
  <c r="K13" i="5"/>
  <c r="K5" i="5"/>
  <c r="O19" i="5"/>
  <c r="O11" i="5"/>
  <c r="H8" i="5"/>
  <c r="H24" i="5"/>
  <c r="H36" i="5"/>
  <c r="H44" i="5"/>
  <c r="H11" i="5"/>
  <c r="H19" i="5"/>
  <c r="H27" i="5"/>
  <c r="H35" i="5"/>
  <c r="H43" i="5"/>
  <c r="F6" i="5"/>
  <c r="F14" i="5"/>
  <c r="F22" i="5"/>
  <c r="F30" i="5"/>
  <c r="F40" i="5"/>
  <c r="F7" i="5"/>
  <c r="F15" i="5"/>
  <c r="F23" i="5"/>
  <c r="F31" i="5"/>
  <c r="F41" i="5"/>
  <c r="F5" i="5"/>
  <c r="D12" i="5"/>
  <c r="D20" i="5"/>
  <c r="D28" i="5"/>
  <c r="D36" i="5"/>
  <c r="D44" i="5"/>
  <c r="D11" i="5"/>
  <c r="D19" i="5"/>
  <c r="D27" i="5"/>
  <c r="D35" i="5"/>
  <c r="D43" i="5"/>
  <c r="B11" i="5"/>
  <c r="B19" i="5"/>
  <c r="B27" i="5"/>
  <c r="B35" i="5"/>
  <c r="B41" i="5"/>
  <c r="B45" i="5"/>
  <c r="B12" i="5"/>
  <c r="B16" i="5"/>
  <c r="B20" i="5"/>
  <c r="B24" i="5"/>
  <c r="B28" i="5"/>
  <c r="B32" i="5"/>
  <c r="B36" i="5"/>
  <c r="B40" i="5"/>
  <c r="B44" i="5"/>
  <c r="B7" i="5"/>
  <c r="B8" i="5"/>
  <c r="B6" i="5"/>
  <c r="D66" i="5"/>
  <c r="D62" i="5"/>
  <c r="D58" i="5"/>
  <c r="D54" i="5"/>
  <c r="F65" i="5"/>
  <c r="F57" i="5"/>
  <c r="B66" i="5"/>
  <c r="B58" i="5"/>
  <c r="M47" i="5"/>
  <c r="M43" i="5"/>
  <c r="M39" i="5"/>
  <c r="M35" i="5"/>
  <c r="M31" i="5"/>
  <c r="M27" i="5"/>
  <c r="M23" i="5"/>
  <c r="M19" i="5"/>
  <c r="M15" i="5"/>
  <c r="M11" i="5"/>
  <c r="M7" i="5"/>
  <c r="K46" i="5"/>
  <c r="K42" i="5"/>
  <c r="K38" i="5"/>
  <c r="K34" i="5"/>
  <c r="K30" i="5"/>
  <c r="K25" i="5"/>
  <c r="K17" i="5"/>
  <c r="K9" i="5"/>
  <c r="O23" i="5"/>
  <c r="O15" i="5"/>
  <c r="O7" i="5"/>
  <c r="H16" i="5"/>
  <c r="H32" i="5"/>
  <c r="H40" i="5"/>
  <c r="H7" i="5"/>
  <c r="H15" i="5"/>
  <c r="H23" i="5"/>
  <c r="H31" i="5"/>
  <c r="H39" i="5"/>
  <c r="H47" i="5"/>
  <c r="F10" i="5"/>
  <c r="F18" i="5"/>
  <c r="F26" i="5"/>
  <c r="F34" i="5"/>
  <c r="F44" i="5"/>
  <c r="F11" i="5"/>
  <c r="F19" i="5"/>
  <c r="F27" i="5"/>
  <c r="F37" i="5"/>
  <c r="F45" i="5"/>
  <c r="D8" i="5"/>
  <c r="D16" i="5"/>
  <c r="D24" i="5"/>
  <c r="D32" i="5"/>
  <c r="D40" i="5"/>
  <c r="D7" i="5"/>
  <c r="D15" i="5"/>
  <c r="D23" i="5"/>
  <c r="D31" i="5"/>
  <c r="D39" i="5"/>
  <c r="D47" i="5"/>
  <c r="B15" i="5"/>
  <c r="B23" i="5"/>
  <c r="B31" i="5"/>
  <c r="B39" i="5"/>
  <c r="B43" i="5"/>
  <c r="B47" i="5"/>
  <c r="B14" i="5"/>
  <c r="B18" i="5"/>
  <c r="B22" i="5"/>
  <c r="B26" i="5"/>
  <c r="B30" i="5"/>
  <c r="B34" i="5"/>
  <c r="B38" i="5"/>
  <c r="B42" i="5"/>
  <c r="B46" i="5"/>
  <c r="B9" i="5"/>
  <c r="B10" i="5"/>
  <c r="B5" i="5"/>
  <c r="F36" i="5"/>
  <c r="F35" i="5"/>
  <c r="E36" i="4" l="1"/>
  <c r="E22" i="4"/>
  <c r="D15" i="4"/>
  <c r="D41" i="4"/>
  <c r="D29" i="4"/>
  <c r="B15" i="2" l="1"/>
  <c r="G22" i="1" l="1"/>
  <c r="I22" i="1"/>
  <c r="E22" i="1"/>
  <c r="G6" i="1"/>
  <c r="G5" i="1"/>
  <c r="F6" i="1"/>
  <c r="E4" i="1"/>
  <c r="E3" i="1"/>
  <c r="F4" i="1"/>
  <c r="F3" i="1"/>
  <c r="E7" i="1"/>
  <c r="G4" i="1"/>
  <c r="G3" i="1"/>
  <c r="F7" i="1"/>
  <c r="E5" i="1"/>
  <c r="G7" i="1"/>
  <c r="F5" i="1"/>
  <c r="E6" i="1"/>
  <c r="E8" i="1" l="1"/>
  <c r="F8" i="1"/>
  <c r="G8" i="1"/>
  <c r="B8" i="1"/>
  <c r="A8" i="1"/>
  <c r="C5" i="1"/>
  <c r="C4" i="1"/>
  <c r="D3" i="1"/>
  <c r="D6" i="1"/>
  <c r="C3" i="1"/>
  <c r="D7" i="1"/>
  <c r="C6" i="1"/>
  <c r="C7" i="1"/>
  <c r="D5" i="1"/>
  <c r="D4" i="1"/>
  <c r="D8" i="1" l="1"/>
</calcChain>
</file>

<file path=xl/sharedStrings.xml><?xml version="1.0" encoding="utf-8"?>
<sst xmlns="http://schemas.openxmlformats.org/spreadsheetml/2006/main" count="96" uniqueCount="27">
  <si>
    <t>X</t>
  </si>
  <si>
    <t>Y</t>
  </si>
  <si>
    <t>XI^2</t>
  </si>
  <si>
    <t>XI^3</t>
  </si>
  <si>
    <t>XI^4</t>
  </si>
  <si>
    <t>XI^2YI</t>
  </si>
  <si>
    <t>XIYI</t>
  </si>
  <si>
    <t>a</t>
  </si>
  <si>
    <t>+</t>
  </si>
  <si>
    <t>b</t>
  </si>
  <si>
    <t>c</t>
  </si>
  <si>
    <t>=</t>
  </si>
  <si>
    <t>x=4</t>
  </si>
  <si>
    <t>NOMBRE: GARCIA TEJEDA CARLOS EDUARDO</t>
  </si>
  <si>
    <t>MATERIA: METODOS NUMERICOS</t>
  </si>
  <si>
    <t>SECUENCIA: 2NM50</t>
  </si>
  <si>
    <t>ENCONTRAR EL AREA BAJO LA CURVA POR EL METODO DEL TRAPECIO</t>
  </si>
  <si>
    <t>XI</t>
  </si>
  <si>
    <t>YI</t>
  </si>
  <si>
    <t>h=</t>
  </si>
  <si>
    <t>296.54 u^2</t>
  </si>
  <si>
    <t>AREA DEBAJO DE LA CURVA =</t>
  </si>
  <si>
    <t>ENCONTRAR EL AREA BAJO LA CURVA POR EL METODO SIMPSON 1/3</t>
  </si>
  <si>
    <t>Z</t>
  </si>
  <si>
    <t>D(Z) = P (-z&lt; Z&lt; z)</t>
  </si>
  <si>
    <t>CALCULAR POR EL POLINOMIO DE LENGRADE EL AREA BAJO LA CURVA DE:</t>
  </si>
  <si>
    <t>NOMBRE: GARCIA TEJEDA CARLOS EDUARDO   MATERIA: METODOS NUMERICOS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</si>
</sst>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445555"/>
      <name val="Georgia"/>
      <family val="1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0" fillId="2" borderId="1" xfId="0" applyFill="1" applyBorder="1"/>
    <xf numFmtId="0" fontId="4" fillId="2" borderId="1" xfId="0" applyFont="1" applyFill="1" applyBorder="1"/>
    <xf numFmtId="0" fontId="4" fillId="2" borderId="0" xfId="0" applyFont="1" applyFill="1"/>
    <xf numFmtId="0" fontId="0" fillId="2" borderId="0" xfId="0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171448</xdr:colOff>
      <xdr:row>16</xdr:row>
      <xdr:rowOff>114300</xdr:rowOff>
    </xdr:from>
    <xdr:ext cx="4762501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 panose="02040503050406030204" pitchFamily="18" charset="0"/>
                        </a:rPr>
                        <m:t>9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.8</m:t>
                          </m:r>
                        </m:num>
                        <m:den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 panose="02040503050406030204" pitchFamily="18" charset="0"/>
                </a:rPr>
                <a:t>∫24_</a:t>
              </a:r>
              <a:r>
                <a:rPr lang="es-MX" sz="1400" b="0" i="0">
                  <a:latin typeface="Cambria Math" panose="02040503050406030204" pitchFamily="18" charset="0"/>
                </a:rPr>
                <a:t>1^9▒〖𝑓(𝑥)𝑑𝑥= .8/2〗</a:t>
              </a:r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19050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7.6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1.1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</a:t>
              </a:r>
              <a:r>
                <a:rPr lang="es-MX" sz="1400" b="0" i="0">
                  <a:latin typeface="Cambria Math" panose="02040503050406030204" pitchFamily="18" charset="0"/>
                </a:rPr>
                <a:t>1</a:t>
              </a:r>
              <a:r>
                <a:rPr lang="es-MX" sz="1400" b="0" i="0">
                  <a:latin typeface="Cambria Math"/>
                </a:rPr>
                <a:t>^7.6▒〖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1.1/3〗</a:t>
              </a:r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37</xdr:row>
      <xdr:rowOff>19050</xdr:rowOff>
    </xdr:from>
    <xdr:ext cx="520065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.7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1.5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es-MX" sz="1400" b="0" i="1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Choice>
      <mc:Fallback xmlns="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_.7^1.5▒〖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.</a:t>
              </a:r>
              <a:r>
                <a:rPr lang="es-MX" sz="1400" b="0" i="0">
                  <a:latin typeface="Cambria Math"/>
                </a:rPr>
                <a:t>2/3〗</a:t>
              </a:r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Fallback>
    </mc:AlternateContent>
    <xdr:clientData/>
  </xdr:oneCellAnchor>
  <xdr:oneCellAnchor>
    <xdr:from>
      <xdr:col>0</xdr:col>
      <xdr:colOff>9525</xdr:colOff>
      <xdr:row>25</xdr:row>
      <xdr:rowOff>9525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.8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3.2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.4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Choice>
      <mc:Fallback xmlns="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_.8^3.2▒〖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.4/3〗</a:t>
              </a:r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276225</xdr:colOff>
      <xdr:row>1</xdr:row>
      <xdr:rowOff>9525</xdr:rowOff>
    </xdr:from>
    <xdr:ext cx="1485900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15</xdr:col>
      <xdr:colOff>104775</xdr:colOff>
      <xdr:row>1</xdr:row>
      <xdr:rowOff>0</xdr:rowOff>
    </xdr:from>
    <xdr:ext cx="1304925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314325</xdr:colOff>
      <xdr:row>47</xdr:row>
      <xdr:rowOff>180975</xdr:rowOff>
    </xdr:from>
    <xdr:ext cx="1485900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2"/>
  <sheetViews>
    <sheetView workbookViewId="0">
      <selection activeCell="F10" sqref="F10"/>
    </sheetView>
  </sheetViews>
  <sheetFormatPr baseColWidth="10" defaultRowHeight="15" x14ac:dyDescent="0.25"/>
  <sheetData>
    <row r="1" spans="1:10" x14ac:dyDescent="0.25">
      <c r="A1" t="s">
        <v>13</v>
      </c>
      <c r="E1" t="s">
        <v>14</v>
      </c>
      <c r="H1" t="s">
        <v>15</v>
      </c>
    </row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10" x14ac:dyDescent="0.25">
      <c r="A3">
        <v>2</v>
      </c>
      <c r="B3">
        <v>3.8</v>
      </c>
      <c r="C3">
        <f>ALCUADRADO(A3)</f>
        <v>4</v>
      </c>
      <c r="D3">
        <f>ALCUBO(A3)</f>
        <v>8</v>
      </c>
      <c r="E3">
        <f>ALACUARTA(A3)</f>
        <v>16</v>
      </c>
      <c r="F3">
        <f>XANDY1(A3,B3)</f>
        <v>15.2</v>
      </c>
      <c r="G3">
        <f>XANDY2(A3,B3)</f>
        <v>7.6</v>
      </c>
    </row>
    <row r="4" spans="1:10" x14ac:dyDescent="0.25">
      <c r="A4">
        <v>3</v>
      </c>
      <c r="B4">
        <v>7.98</v>
      </c>
      <c r="C4">
        <f t="shared" ref="C4:C7" si="0">ALCUADRADO(A4)</f>
        <v>9</v>
      </c>
      <c r="D4">
        <f t="shared" ref="D4:D7" si="1">ALCUBO(A4)</f>
        <v>27</v>
      </c>
      <c r="E4">
        <f t="shared" ref="E4:E7" si="2">ALACUARTA(A4)</f>
        <v>81</v>
      </c>
      <c r="F4">
        <f t="shared" ref="F4:F7" si="3">XANDY1(A4,B4)</f>
        <v>71.820000000000007</v>
      </c>
      <c r="G4">
        <f t="shared" ref="G4:G7" si="4">XANDY2(A4,B4)</f>
        <v>23.94</v>
      </c>
    </row>
    <row r="5" spans="1:10" x14ac:dyDescent="0.25">
      <c r="A5">
        <v>5</v>
      </c>
      <c r="B5">
        <v>26.31</v>
      </c>
      <c r="C5">
        <f t="shared" si="0"/>
        <v>25</v>
      </c>
      <c r="D5">
        <f t="shared" si="1"/>
        <v>125</v>
      </c>
      <c r="E5">
        <f t="shared" si="2"/>
        <v>625</v>
      </c>
      <c r="F5">
        <f t="shared" si="3"/>
        <v>657.75</v>
      </c>
      <c r="G5">
        <f t="shared" si="4"/>
        <v>131.54999999999998</v>
      </c>
    </row>
    <row r="6" spans="1:10" x14ac:dyDescent="0.25">
      <c r="A6">
        <v>8</v>
      </c>
      <c r="B6">
        <v>69.349999999999994</v>
      </c>
      <c r="C6">
        <f t="shared" si="0"/>
        <v>64</v>
      </c>
      <c r="D6">
        <f t="shared" si="1"/>
        <v>512</v>
      </c>
      <c r="E6">
        <f t="shared" si="2"/>
        <v>4096</v>
      </c>
      <c r="F6">
        <f t="shared" si="3"/>
        <v>4438.3999999999996</v>
      </c>
      <c r="G6">
        <f t="shared" si="4"/>
        <v>554.79999999999995</v>
      </c>
    </row>
    <row r="7" spans="1:10" x14ac:dyDescent="0.25">
      <c r="A7">
        <v>10</v>
      </c>
      <c r="B7">
        <v>95.32</v>
      </c>
      <c r="C7">
        <f t="shared" si="0"/>
        <v>100</v>
      </c>
      <c r="D7">
        <f t="shared" si="1"/>
        <v>1000</v>
      </c>
      <c r="E7">
        <f t="shared" si="2"/>
        <v>10000</v>
      </c>
      <c r="F7">
        <f t="shared" si="3"/>
        <v>9532</v>
      </c>
      <c r="G7">
        <f t="shared" si="4"/>
        <v>953.19999999999993</v>
      </c>
    </row>
    <row r="8" spans="1:10" x14ac:dyDescent="0.25">
      <c r="A8">
        <f>SUM(A3:A7)</f>
        <v>28</v>
      </c>
      <c r="B8">
        <f>SUM(B3:B7)</f>
        <v>202.76</v>
      </c>
      <c r="C8">
        <v>202</v>
      </c>
      <c r="D8">
        <f>SUM(D3:D7)</f>
        <v>1672</v>
      </c>
      <c r="E8">
        <f>SUM(E3:E7)</f>
        <v>14818</v>
      </c>
      <c r="F8">
        <f>SUM(F3:F7)</f>
        <v>14715.17</v>
      </c>
      <c r="G8">
        <f>SUM(G3:G7)</f>
        <v>1671.0899999999997</v>
      </c>
    </row>
    <row r="11" spans="1:10" x14ac:dyDescent="0.25">
      <c r="A11">
        <v>14818</v>
      </c>
      <c r="B11" t="s">
        <v>7</v>
      </c>
      <c r="C11" t="s">
        <v>8</v>
      </c>
      <c r="D11">
        <v>1672</v>
      </c>
      <c r="E11" t="s">
        <v>9</v>
      </c>
      <c r="F11" t="s">
        <v>8</v>
      </c>
      <c r="G11">
        <v>202</v>
      </c>
      <c r="H11" t="s">
        <v>10</v>
      </c>
      <c r="I11" t="s">
        <v>11</v>
      </c>
      <c r="J11">
        <v>14715.17</v>
      </c>
    </row>
    <row r="12" spans="1:10" x14ac:dyDescent="0.25">
      <c r="A12">
        <v>1672</v>
      </c>
      <c r="B12" t="s">
        <v>7</v>
      </c>
      <c r="C12" t="s">
        <v>8</v>
      </c>
      <c r="D12">
        <v>202</v>
      </c>
      <c r="E12" t="s">
        <v>9</v>
      </c>
      <c r="F12" t="s">
        <v>8</v>
      </c>
      <c r="G12">
        <v>28</v>
      </c>
      <c r="H12" t="s">
        <v>10</v>
      </c>
      <c r="I12" t="s">
        <v>11</v>
      </c>
      <c r="J12">
        <v>1671.0899999999997</v>
      </c>
    </row>
    <row r="13" spans="1:10" x14ac:dyDescent="0.25">
      <c r="A13">
        <v>202</v>
      </c>
      <c r="B13" t="s">
        <v>7</v>
      </c>
      <c r="C13" t="s">
        <v>8</v>
      </c>
      <c r="D13">
        <v>28</v>
      </c>
      <c r="E13" t="s">
        <v>9</v>
      </c>
      <c r="F13" t="s">
        <v>8</v>
      </c>
      <c r="G13">
        <v>5</v>
      </c>
      <c r="H13" t="s">
        <v>10</v>
      </c>
      <c r="I13" t="s">
        <v>11</v>
      </c>
      <c r="J13">
        <v>202.76</v>
      </c>
    </row>
    <row r="16" spans="1:10" x14ac:dyDescent="0.25">
      <c r="B16" t="s">
        <v>7</v>
      </c>
      <c r="C16" t="s">
        <v>11</v>
      </c>
      <c r="D16">
        <v>0.61554260000000005</v>
      </c>
    </row>
    <row r="17" spans="1:9" x14ac:dyDescent="0.25">
      <c r="B17" t="s">
        <v>9</v>
      </c>
      <c r="C17" t="s">
        <v>11</v>
      </c>
      <c r="D17">
        <v>4.4855875999999997</v>
      </c>
    </row>
    <row r="18" spans="1:9" x14ac:dyDescent="0.25">
      <c r="B18" t="s">
        <v>10</v>
      </c>
      <c r="C18" t="s">
        <v>11</v>
      </c>
      <c r="D18">
        <v>-9.4352117999999994</v>
      </c>
    </row>
    <row r="20" spans="1:9" x14ac:dyDescent="0.25">
      <c r="C20" s="1"/>
    </row>
    <row r="22" spans="1:9" x14ac:dyDescent="0.25">
      <c r="A22" t="s">
        <v>12</v>
      </c>
      <c r="B22" t="s">
        <v>11</v>
      </c>
      <c r="C22">
        <v>0.61554260000000005</v>
      </c>
      <c r="D22" t="s">
        <v>8</v>
      </c>
      <c r="E22">
        <f>4.4855876*4</f>
        <v>17.942350399999999</v>
      </c>
      <c r="F22" t="s">
        <v>8</v>
      </c>
      <c r="G22">
        <f>3.85</f>
        <v>3.85</v>
      </c>
      <c r="H22" t="s">
        <v>11</v>
      </c>
      <c r="I22">
        <f>21.6024</f>
        <v>21.602399999999999</v>
      </c>
    </row>
  </sheetData>
  <pageMargins left="0.7" right="0.7" top="0.75" bottom="0.75" header="0.3" footer="0.3"/>
  <pageSetup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"/>
  <sheetViews>
    <sheetView workbookViewId="0">
      <selection activeCell="I17" sqref="I17"/>
    </sheetView>
  </sheetViews>
  <sheetFormatPr baseColWidth="10" defaultRowHeight="15" x14ac:dyDescent="0.25"/>
  <cols>
    <col min="2" max="2" width="13.85546875" customWidth="1"/>
  </cols>
  <sheetData>
    <row r="1" spans="1:6" ht="15.75" x14ac:dyDescent="0.25">
      <c r="A1" s="4" t="s">
        <v>13</v>
      </c>
      <c r="B1" s="4"/>
      <c r="C1" s="4"/>
      <c r="D1" s="4"/>
      <c r="E1" s="4" t="s">
        <v>15</v>
      </c>
      <c r="F1" s="4"/>
    </row>
    <row r="2" spans="1:6" ht="15.75" x14ac:dyDescent="0.25">
      <c r="A2" s="12" t="s">
        <v>14</v>
      </c>
      <c r="B2" s="13"/>
      <c r="C2" s="13"/>
      <c r="D2" s="13"/>
      <c r="E2" s="13"/>
      <c r="F2" s="14"/>
    </row>
    <row r="4" spans="1:6" x14ac:dyDescent="0.25">
      <c r="A4" t="s">
        <v>16</v>
      </c>
    </row>
    <row r="6" spans="1:6" x14ac:dyDescent="0.25">
      <c r="A6" t="s">
        <v>17</v>
      </c>
      <c r="B6" t="s">
        <v>18</v>
      </c>
    </row>
    <row r="7" spans="1:6" x14ac:dyDescent="0.25">
      <c r="A7">
        <v>1</v>
      </c>
      <c r="B7">
        <v>22</v>
      </c>
    </row>
    <row r="8" spans="1:6" x14ac:dyDescent="0.25">
      <c r="A8">
        <v>1.8</v>
      </c>
      <c r="B8">
        <v>27</v>
      </c>
    </row>
    <row r="9" spans="1:6" x14ac:dyDescent="0.25">
      <c r="A9">
        <v>2.6</v>
      </c>
      <c r="B9">
        <v>36</v>
      </c>
    </row>
    <row r="10" spans="1:6" x14ac:dyDescent="0.25">
      <c r="A10">
        <v>3.4</v>
      </c>
      <c r="B10">
        <v>45</v>
      </c>
    </row>
    <row r="11" spans="1:6" x14ac:dyDescent="0.25">
      <c r="A11">
        <v>4.2</v>
      </c>
      <c r="B11">
        <v>52</v>
      </c>
    </row>
    <row r="12" spans="1:6" x14ac:dyDescent="0.25">
      <c r="A12">
        <v>5</v>
      </c>
      <c r="B12">
        <v>58</v>
      </c>
    </row>
    <row r="13" spans="1:6" x14ac:dyDescent="0.25">
      <c r="A13">
        <v>5.8</v>
      </c>
      <c r="B13">
        <v>62</v>
      </c>
    </row>
    <row r="15" spans="1:6" x14ac:dyDescent="0.25">
      <c r="A15" t="s">
        <v>19</v>
      </c>
      <c r="B15">
        <f>A9-A8</f>
        <v>0.8</v>
      </c>
    </row>
    <row r="16" spans="1:6" x14ac:dyDescent="0.25">
      <c r="B16" s="2"/>
    </row>
    <row r="17" spans="1:4" x14ac:dyDescent="0.25">
      <c r="A17" s="3"/>
    </row>
    <row r="21" spans="1:4" x14ac:dyDescent="0.25">
      <c r="A21" t="s">
        <v>21</v>
      </c>
      <c r="D21" t="s">
        <v>20</v>
      </c>
    </row>
  </sheetData>
  <mergeCells count="1">
    <mergeCell ref="A2:F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1"/>
  <sheetViews>
    <sheetView topLeftCell="A25" workbookViewId="0">
      <selection activeCell="F45" sqref="F45"/>
    </sheetView>
  </sheetViews>
  <sheetFormatPr baseColWidth="10" defaultRowHeight="15" x14ac:dyDescent="0.25"/>
  <cols>
    <col min="2" max="2" width="13.85546875" customWidth="1"/>
    <col min="4" max="4" width="11.85546875" bestFit="1" customWidth="1"/>
  </cols>
  <sheetData>
    <row r="1" spans="1:6" ht="15.75" x14ac:dyDescent="0.25">
      <c r="A1" s="4" t="s">
        <v>13</v>
      </c>
      <c r="B1" s="4"/>
      <c r="C1" s="4"/>
      <c r="D1" s="4"/>
      <c r="E1" s="4" t="s">
        <v>15</v>
      </c>
      <c r="F1" s="4"/>
    </row>
    <row r="2" spans="1:6" ht="15.75" x14ac:dyDescent="0.25">
      <c r="A2" s="12" t="s">
        <v>14</v>
      </c>
      <c r="B2" s="13"/>
      <c r="C2" s="13"/>
      <c r="D2" s="13"/>
      <c r="E2" s="13"/>
      <c r="F2" s="14"/>
    </row>
    <row r="3" spans="1:6" x14ac:dyDescent="0.25">
      <c r="A3" t="s">
        <v>22</v>
      </c>
    </row>
    <row r="4" spans="1:6" x14ac:dyDescent="0.25">
      <c r="A4" s="6" t="s">
        <v>17</v>
      </c>
      <c r="B4" s="6" t="s">
        <v>18</v>
      </c>
    </row>
    <row r="5" spans="1:6" x14ac:dyDescent="0.25">
      <c r="A5" s="6">
        <v>1</v>
      </c>
      <c r="B5" s="6">
        <v>9</v>
      </c>
    </row>
    <row r="6" spans="1:6" x14ac:dyDescent="0.25">
      <c r="A6" s="6">
        <v>2.1</v>
      </c>
      <c r="B6" s="6">
        <v>27</v>
      </c>
    </row>
    <row r="7" spans="1:6" x14ac:dyDescent="0.25">
      <c r="A7" s="6">
        <v>3.2</v>
      </c>
      <c r="B7" s="6">
        <v>42</v>
      </c>
    </row>
    <row r="8" spans="1:6" x14ac:dyDescent="0.25">
      <c r="A8" s="6">
        <v>4.3</v>
      </c>
      <c r="B8" s="6">
        <v>55</v>
      </c>
      <c r="D8" s="5" t="s">
        <v>19</v>
      </c>
      <c r="E8" s="5">
        <v>1.1000000000000001</v>
      </c>
    </row>
    <row r="9" spans="1:6" x14ac:dyDescent="0.25">
      <c r="A9" s="6">
        <v>5.4</v>
      </c>
      <c r="B9" s="6">
        <v>37</v>
      </c>
    </row>
    <row r="10" spans="1:6" x14ac:dyDescent="0.25">
      <c r="A10" s="6">
        <v>6.5</v>
      </c>
      <c r="B10" s="6">
        <v>25</v>
      </c>
    </row>
    <row r="11" spans="1:6" x14ac:dyDescent="0.25">
      <c r="A11" s="6">
        <v>7.6</v>
      </c>
      <c r="B11" s="6">
        <v>50</v>
      </c>
    </row>
    <row r="14" spans="1:6" x14ac:dyDescent="0.25">
      <c r="B14" s="2"/>
    </row>
    <row r="15" spans="1:6" x14ac:dyDescent="0.25">
      <c r="A15" t="s">
        <v>21</v>
      </c>
      <c r="D15" s="7" t="str">
        <f>SIMPSON1()</f>
        <v>236.5 U^2</v>
      </c>
    </row>
    <row r="17" spans="1:5" x14ac:dyDescent="0.25">
      <c r="A17" t="s">
        <v>22</v>
      </c>
    </row>
    <row r="18" spans="1:5" x14ac:dyDescent="0.25">
      <c r="A18" s="6" t="s">
        <v>17</v>
      </c>
      <c r="B18" s="6" t="s">
        <v>18</v>
      </c>
    </row>
    <row r="19" spans="1:5" x14ac:dyDescent="0.25">
      <c r="A19" s="6">
        <v>0.8</v>
      </c>
      <c r="B19" s="6">
        <v>75</v>
      </c>
    </row>
    <row r="20" spans="1:5" x14ac:dyDescent="0.25">
      <c r="A20" s="6">
        <v>1.2</v>
      </c>
      <c r="B20" s="6">
        <v>57</v>
      </c>
    </row>
    <row r="21" spans="1:5" x14ac:dyDescent="0.25">
      <c r="A21" s="6">
        <v>1.6</v>
      </c>
      <c r="B21" s="6">
        <v>28</v>
      </c>
    </row>
    <row r="22" spans="1:5" x14ac:dyDescent="0.25">
      <c r="A22" s="6">
        <v>2</v>
      </c>
      <c r="B22" s="6">
        <v>20</v>
      </c>
      <c r="D22" s="5" t="s">
        <v>19</v>
      </c>
      <c r="E22" s="5">
        <f>A21-A20</f>
        <v>0.40000000000000013</v>
      </c>
    </row>
    <row r="23" spans="1:5" x14ac:dyDescent="0.25">
      <c r="A23" s="6">
        <v>2.4</v>
      </c>
      <c r="B23" s="6">
        <v>12</v>
      </c>
    </row>
    <row r="24" spans="1:5" x14ac:dyDescent="0.25">
      <c r="A24" s="6">
        <v>2.8</v>
      </c>
      <c r="B24" s="6">
        <v>8</v>
      </c>
    </row>
    <row r="25" spans="1:5" x14ac:dyDescent="0.25">
      <c r="A25" s="6">
        <v>3.2</v>
      </c>
      <c r="B25" s="6">
        <v>2</v>
      </c>
    </row>
    <row r="28" spans="1:5" x14ac:dyDescent="0.25">
      <c r="B28" s="2"/>
    </row>
    <row r="29" spans="1:5" x14ac:dyDescent="0.25">
      <c r="A29" t="s">
        <v>21</v>
      </c>
      <c r="D29" s="7" t="str">
        <f>SIMPSON2()</f>
        <v>66.2666666666667 U^2</v>
      </c>
    </row>
    <row r="31" spans="1:5" x14ac:dyDescent="0.25">
      <c r="A31" t="s">
        <v>22</v>
      </c>
    </row>
    <row r="32" spans="1:5" x14ac:dyDescent="0.25">
      <c r="A32" s="6" t="s">
        <v>17</v>
      </c>
      <c r="B32" s="6" t="s">
        <v>18</v>
      </c>
    </row>
    <row r="33" spans="1:5" x14ac:dyDescent="0.25">
      <c r="A33" s="6">
        <v>0.7</v>
      </c>
      <c r="B33" s="6">
        <v>50</v>
      </c>
    </row>
    <row r="34" spans="1:5" x14ac:dyDescent="0.25">
      <c r="A34" s="6">
        <v>0.9</v>
      </c>
      <c r="B34" s="6">
        <v>82</v>
      </c>
    </row>
    <row r="35" spans="1:5" x14ac:dyDescent="0.25">
      <c r="A35" s="6">
        <v>1.1000000000000001</v>
      </c>
      <c r="B35" s="6">
        <v>97</v>
      </c>
    </row>
    <row r="36" spans="1:5" x14ac:dyDescent="0.25">
      <c r="A36" s="6">
        <v>1.3</v>
      </c>
      <c r="B36" s="6">
        <v>105</v>
      </c>
      <c r="D36" s="5" t="s">
        <v>19</v>
      </c>
      <c r="E36" s="5">
        <f>A35-A34</f>
        <v>0.20000000000000007</v>
      </c>
    </row>
    <row r="37" spans="1:5" x14ac:dyDescent="0.25">
      <c r="A37" s="6">
        <v>1.5</v>
      </c>
      <c r="B37" s="6">
        <v>112</v>
      </c>
    </row>
    <row r="40" spans="1:5" x14ac:dyDescent="0.25">
      <c r="B40" s="2"/>
    </row>
    <row r="41" spans="1:5" x14ac:dyDescent="0.25">
      <c r="A41" t="s">
        <v>21</v>
      </c>
      <c r="D41" s="7" t="str">
        <f>SIMPSON3()</f>
        <v>73.6 U^2</v>
      </c>
    </row>
  </sheetData>
  <mergeCells count="1">
    <mergeCell ref="A2:F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68"/>
  <sheetViews>
    <sheetView tabSelected="1" topLeftCell="C40" workbookViewId="0">
      <selection activeCell="M54" sqref="M54"/>
    </sheetView>
  </sheetViews>
  <sheetFormatPr baseColWidth="10" defaultRowHeight="15" x14ac:dyDescent="0.25"/>
  <cols>
    <col min="1" max="1" width="5" customWidth="1"/>
    <col min="2" max="2" width="15.85546875" bestFit="1" customWidth="1"/>
    <col min="3" max="3" width="4.7109375" customWidth="1"/>
    <col min="4" max="4" width="15.85546875" bestFit="1" customWidth="1"/>
    <col min="5" max="5" width="4.85546875" customWidth="1"/>
    <col min="6" max="6" width="15.85546875" bestFit="1" customWidth="1"/>
    <col min="7" max="7" width="5.140625" customWidth="1"/>
    <col min="8" max="8" width="15.85546875" bestFit="1" customWidth="1"/>
    <col min="9" max="10" width="5.140625" customWidth="1"/>
    <col min="11" max="11" width="15.85546875" bestFit="1" customWidth="1"/>
    <col min="12" max="12" width="5" customWidth="1"/>
    <col min="13" max="13" width="15.85546875" bestFit="1" customWidth="1"/>
    <col min="14" max="14" width="5.140625" customWidth="1"/>
    <col min="15" max="15" width="15.85546875" bestFit="1" customWidth="1"/>
    <col min="16" max="16" width="5" customWidth="1"/>
    <col min="17" max="17" width="15.85546875" bestFit="1" customWidth="1"/>
  </cols>
  <sheetData>
    <row r="1" spans="1:17" x14ac:dyDescent="0.25">
      <c r="A1" s="10" t="s">
        <v>26</v>
      </c>
      <c r="B1" s="11"/>
      <c r="C1" s="11"/>
      <c r="D1" s="11"/>
      <c r="E1" s="11"/>
      <c r="F1" s="11"/>
      <c r="G1" s="11"/>
      <c r="H1" s="11"/>
      <c r="J1" s="10" t="s">
        <v>26</v>
      </c>
      <c r="K1" s="11"/>
      <c r="L1" s="11"/>
      <c r="M1" s="11"/>
      <c r="N1" s="11"/>
      <c r="O1" s="11"/>
      <c r="P1" s="11"/>
      <c r="Q1" s="11"/>
    </row>
    <row r="2" spans="1:17" x14ac:dyDescent="0.25">
      <c r="A2" s="10" t="s">
        <v>25</v>
      </c>
      <c r="B2" s="10"/>
      <c r="C2" s="10"/>
      <c r="D2" s="10"/>
      <c r="E2" s="10"/>
      <c r="F2" s="10"/>
      <c r="G2" s="10"/>
      <c r="J2" s="10" t="s">
        <v>25</v>
      </c>
      <c r="K2" s="10"/>
      <c r="L2" s="10"/>
      <c r="M2" s="10"/>
      <c r="N2" s="10"/>
      <c r="O2" s="10"/>
      <c r="P2" s="10"/>
    </row>
    <row r="4" spans="1:17" x14ac:dyDescent="0.25">
      <c r="A4" s="8" t="s">
        <v>23</v>
      </c>
      <c r="B4" s="8" t="s">
        <v>24</v>
      </c>
      <c r="C4" s="8" t="s">
        <v>23</v>
      </c>
      <c r="D4" s="8" t="s">
        <v>24</v>
      </c>
      <c r="E4" s="8" t="s">
        <v>23</v>
      </c>
      <c r="F4" s="8" t="s">
        <v>24</v>
      </c>
      <c r="G4" s="8" t="s">
        <v>23</v>
      </c>
      <c r="H4" s="8" t="s">
        <v>24</v>
      </c>
      <c r="J4" s="8" t="s">
        <v>23</v>
      </c>
      <c r="K4" s="8" t="s">
        <v>24</v>
      </c>
      <c r="L4" s="8" t="s">
        <v>23</v>
      </c>
      <c r="M4" s="8" t="s">
        <v>24</v>
      </c>
      <c r="N4" s="8" t="s">
        <v>23</v>
      </c>
      <c r="O4" s="8" t="s">
        <v>24</v>
      </c>
      <c r="P4" s="8" t="s">
        <v>23</v>
      </c>
      <c r="Q4" s="8" t="s">
        <v>24</v>
      </c>
    </row>
    <row r="5" spans="1:17" x14ac:dyDescent="0.25">
      <c r="A5" s="8">
        <v>0</v>
      </c>
      <c r="B5" s="9">
        <f>FR(A5)</f>
        <v>0</v>
      </c>
      <c r="C5" s="8">
        <v>0.43</v>
      </c>
      <c r="D5" s="9">
        <f>FR(C5)</f>
        <v>0.33280436225814714</v>
      </c>
      <c r="E5" s="8">
        <v>0.86</v>
      </c>
      <c r="F5" s="9">
        <f>FR(E5)</f>
        <v>0.61021101335494821</v>
      </c>
      <c r="G5" s="8">
        <v>1.29</v>
      </c>
      <c r="H5" s="9">
        <f>FR(G5)</f>
        <v>0.8029528097811367</v>
      </c>
      <c r="J5" s="8">
        <v>1.72</v>
      </c>
      <c r="K5" s="9">
        <f>FR(J5)</f>
        <v>0.91462943691674514</v>
      </c>
      <c r="L5" s="8">
        <v>2.15</v>
      </c>
      <c r="M5" s="9">
        <f>FR(L5)</f>
        <v>0.96895282928575255</v>
      </c>
      <c r="N5" s="8">
        <v>2.58</v>
      </c>
      <c r="O5" s="9">
        <f>FR(N5)</f>
        <v>0.99262566126281826</v>
      </c>
      <c r="P5" s="8">
        <v>3.01</v>
      </c>
      <c r="Q5" s="9">
        <f>FR(P5)</f>
        <v>1.0059984596867191</v>
      </c>
    </row>
    <row r="6" spans="1:17" x14ac:dyDescent="0.25">
      <c r="A6" s="8">
        <v>0.01</v>
      </c>
      <c r="B6" s="9">
        <f>FR(A6)</f>
        <v>7.9787127090515473E-3</v>
      </c>
      <c r="C6" s="8">
        <v>0.44</v>
      </c>
      <c r="D6" s="9">
        <f t="shared" ref="D6:D47" si="0">FR(C6)</f>
        <v>0.34006289621477559</v>
      </c>
      <c r="E6" s="8">
        <v>0.87</v>
      </c>
      <c r="F6" s="9">
        <f t="shared" ref="F6:F47" si="1">FR(E6)</f>
        <v>0.61569965816703887</v>
      </c>
      <c r="G6" s="8">
        <v>1.3</v>
      </c>
      <c r="H6" s="9">
        <f t="shared" ref="H6:H47" si="2">FR(G6)</f>
        <v>0.80640278400488885</v>
      </c>
      <c r="J6" s="8">
        <v>1.73</v>
      </c>
      <c r="K6" s="9">
        <f>FR(J6)</f>
        <v>0.91643519315857824</v>
      </c>
      <c r="L6" s="8">
        <v>2.16</v>
      </c>
      <c r="M6" s="9">
        <f t="shared" ref="M6:M47" si="3">FR(L6)</f>
        <v>0.96975725671707991</v>
      </c>
      <c r="N6" s="8">
        <v>2.59</v>
      </c>
      <c r="O6" s="9">
        <f t="shared" ref="O6:O47" si="4">FR(N6)</f>
        <v>0.99299054539109166</v>
      </c>
      <c r="P6" s="8">
        <v>3.02</v>
      </c>
      <c r="Q6" s="9">
        <f t="shared" ref="Q6:Q47" si="5">FR(P6)</f>
        <v>1.0063031874186135</v>
      </c>
    </row>
    <row r="7" spans="1:17" x14ac:dyDescent="0.25">
      <c r="A7" s="8">
        <v>0.02</v>
      </c>
      <c r="B7" s="9">
        <f t="shared" ref="B7:B47" si="6">FR(A7)</f>
        <v>1.5956627593379947E-2</v>
      </c>
      <c r="C7" s="8">
        <v>0.45</v>
      </c>
      <c r="D7" s="9">
        <f t="shared" si="0"/>
        <v>0.34728956304894704</v>
      </c>
      <c r="E7" s="8">
        <v>0.88</v>
      </c>
      <c r="F7" s="9">
        <f t="shared" si="1"/>
        <v>0.62114076008778196</v>
      </c>
      <c r="G7" s="8">
        <v>1.31</v>
      </c>
      <c r="H7" s="9">
        <f t="shared" si="2"/>
        <v>0.80980822360630911</v>
      </c>
      <c r="J7" s="8">
        <v>1.74</v>
      </c>
      <c r="K7" s="9">
        <f t="shared" ref="K7:K47" si="7">FR(J7)</f>
        <v>0.91821022059408264</v>
      </c>
      <c r="L7" s="8">
        <v>2.17</v>
      </c>
      <c r="M7" s="9">
        <f t="shared" si="3"/>
        <v>0.97054575664586507</v>
      </c>
      <c r="N7" s="8">
        <v>2.6</v>
      </c>
      <c r="O7" s="9">
        <f t="shared" si="4"/>
        <v>0.99335040866898983</v>
      </c>
      <c r="P7" s="8">
        <v>3.03</v>
      </c>
      <c r="Q7" s="9">
        <f t="shared" si="5"/>
        <v>1.0066097220250316</v>
      </c>
    </row>
    <row r="8" spans="1:17" x14ac:dyDescent="0.25">
      <c r="A8" s="8">
        <v>0.03</v>
      </c>
      <c r="B8" s="9">
        <f t="shared" si="6"/>
        <v>2.3932947067587512E-2</v>
      </c>
      <c r="C8" s="8">
        <v>0.46</v>
      </c>
      <c r="D8" s="9">
        <f t="shared" si="0"/>
        <v>0.35448378321526935</v>
      </c>
      <c r="E8" s="8">
        <v>0.89</v>
      </c>
      <c r="F8" s="9">
        <f t="shared" si="1"/>
        <v>0.62653419166124469</v>
      </c>
      <c r="G8" s="8">
        <v>1.32</v>
      </c>
      <c r="H8" s="9">
        <f t="shared" si="2"/>
        <v>0.81316936925304162</v>
      </c>
      <c r="J8" s="8">
        <v>1.75</v>
      </c>
      <c r="K8" s="9">
        <f t="shared" si="7"/>
        <v>0.9199548828293298</v>
      </c>
      <c r="L8" s="8">
        <v>2.1800000000000002</v>
      </c>
      <c r="M8" s="9">
        <f t="shared" si="3"/>
        <v>0.97131863429575116</v>
      </c>
      <c r="N8" s="8">
        <v>2.61</v>
      </c>
      <c r="O8" s="9">
        <f t="shared" si="4"/>
        <v>0.99370545170464886</v>
      </c>
      <c r="P8" s="8">
        <v>3.04</v>
      </c>
      <c r="Q8" s="9">
        <f t="shared" si="5"/>
        <v>1.0069181841641934</v>
      </c>
    </row>
    <row r="9" spans="1:17" x14ac:dyDescent="0.25">
      <c r="A9" s="8">
        <v>0.04</v>
      </c>
      <c r="B9" s="9">
        <f t="shared" si="6"/>
        <v>3.1906874024807894E-2</v>
      </c>
      <c r="C9" s="8">
        <v>0.47</v>
      </c>
      <c r="D9" s="9">
        <f t="shared" si="0"/>
        <v>0.36164498624489594</v>
      </c>
      <c r="E9" s="8">
        <v>0.9</v>
      </c>
      <c r="F9" s="9">
        <f t="shared" si="1"/>
        <v>0.63187983604748177</v>
      </c>
      <c r="G9" s="8">
        <v>1.33</v>
      </c>
      <c r="H9" s="9">
        <f t="shared" si="2"/>
        <v>0.81648646736998465</v>
      </c>
      <c r="J9" s="8">
        <v>1.76</v>
      </c>
      <c r="K9" s="9">
        <f t="shared" si="7"/>
        <v>0.92166954363394149</v>
      </c>
      <c r="L9" s="8">
        <v>2.19</v>
      </c>
      <c r="M9" s="9">
        <f t="shared" si="3"/>
        <v>0.97207619253331423</v>
      </c>
      <c r="N9" s="8">
        <v>2.62</v>
      </c>
      <c r="O9" s="9">
        <f t="shared" si="4"/>
        <v>0.99405587286593766</v>
      </c>
      <c r="P9" s="8">
        <v>3.05</v>
      </c>
      <c r="Q9" s="9">
        <f t="shared" si="5"/>
        <v>1.0072286930124412</v>
      </c>
    </row>
    <row r="10" spans="1:17" x14ac:dyDescent="0.25">
      <c r="A10" s="8">
        <v>0.05</v>
      </c>
      <c r="B10" s="9">
        <f t="shared" si="6"/>
        <v>3.9877612075672648E-2</v>
      </c>
      <c r="C10" s="8">
        <v>0.48</v>
      </c>
      <c r="D10" s="9">
        <f t="shared" si="0"/>
        <v>0.36877261087507701</v>
      </c>
      <c r="E10" s="8">
        <v>0.91</v>
      </c>
      <c r="F10" s="9">
        <f t="shared" si="1"/>
        <v>0.63717758696446858</v>
      </c>
      <c r="G10" s="8">
        <v>1.34</v>
      </c>
      <c r="H10" s="9">
        <f t="shared" si="2"/>
        <v>0.81975976999466704</v>
      </c>
      <c r="J10" s="8">
        <v>1.77</v>
      </c>
      <c r="K10" s="9">
        <f t="shared" si="7"/>
        <v>0.92335456684202566</v>
      </c>
      <c r="L10" s="8">
        <v>2.2000000000000002</v>
      </c>
      <c r="M10" s="9">
        <f t="shared" si="3"/>
        <v>0.97281873184844847</v>
      </c>
      <c r="N10" s="8">
        <v>2.63</v>
      </c>
      <c r="O10" s="9">
        <f t="shared" si="4"/>
        <v>0.99440186829752619</v>
      </c>
      <c r="P10" s="8">
        <v>3.06</v>
      </c>
      <c r="Q10" s="9">
        <f t="shared" si="5"/>
        <v>1.0075413662787338</v>
      </c>
    </row>
    <row r="11" spans="1:17" x14ac:dyDescent="0.25">
      <c r="A11" s="8">
        <v>0.06</v>
      </c>
      <c r="B11" s="9">
        <f t="shared" si="6"/>
        <v>4.7844365786919266E-2</v>
      </c>
      <c r="C11" s="8">
        <v>0.49</v>
      </c>
      <c r="D11" s="9">
        <f t="shared" si="0"/>
        <v>0.37586610517444408</v>
      </c>
      <c r="E11" s="8">
        <v>0.92</v>
      </c>
      <c r="F11" s="9">
        <f t="shared" si="1"/>
        <v>0.64242734862638085</v>
      </c>
      <c r="G11" s="8">
        <v>1.35</v>
      </c>
      <c r="H11" s="9">
        <f t="shared" si="2"/>
        <v>0.82298953463242908</v>
      </c>
      <c r="J11" s="8">
        <v>1.78</v>
      </c>
      <c r="K11" s="9">
        <f t="shared" si="7"/>
        <v>0.92501031625502295</v>
      </c>
      <c r="L11" s="8">
        <v>2.21</v>
      </c>
      <c r="M11" s="9">
        <f t="shared" si="3"/>
        <v>0.97354655033621584</v>
      </c>
      <c r="N11" s="8">
        <v>2.64</v>
      </c>
      <c r="O11" s="9">
        <f t="shared" si="4"/>
        <v>0.99474363193821069</v>
      </c>
      <c r="P11" s="8">
        <v>3.07</v>
      </c>
      <c r="Q11" s="9">
        <f t="shared" si="5"/>
        <v>1.0078563202188942</v>
      </c>
    </row>
    <row r="12" spans="1:17" x14ac:dyDescent="0.25">
      <c r="A12" s="8">
        <v>7.0000000000000007E-2</v>
      </c>
      <c r="B12" s="9">
        <f t="shared" si="6"/>
        <v>5.5806340919521469E-2</v>
      </c>
      <c r="C12" s="8">
        <v>0.5</v>
      </c>
      <c r="D12" s="9">
        <f t="shared" si="0"/>
        <v>0.38292492666398592</v>
      </c>
      <c r="E12" s="8">
        <v>0.93</v>
      </c>
      <c r="F12" s="9">
        <f t="shared" si="1"/>
        <v>0.64762903567828478</v>
      </c>
      <c r="G12" s="8">
        <v>1.36</v>
      </c>
      <c r="H12" s="9">
        <f t="shared" si="2"/>
        <v>0.8261760241114845</v>
      </c>
      <c r="J12" s="8">
        <v>1.79</v>
      </c>
      <c r="K12" s="9">
        <f t="shared" si="7"/>
        <v>0.92663715554647319</v>
      </c>
      <c r="L12" s="8">
        <v>2.2200000000000002</v>
      </c>
      <c r="M12" s="9">
        <f t="shared" si="3"/>
        <v>0.97425994368013058</v>
      </c>
      <c r="N12" s="8">
        <v>2.65</v>
      </c>
      <c r="O12" s="9">
        <f t="shared" si="4"/>
        <v>0.99508135553847776</v>
      </c>
      <c r="P12" s="8">
        <v>3.08</v>
      </c>
      <c r="Q12" s="9">
        <f t="shared" si="5"/>
        <v>1.0081736696496129</v>
      </c>
    </row>
    <row r="13" spans="1:17" x14ac:dyDescent="0.25">
      <c r="A13" s="8">
        <v>0.08</v>
      </c>
      <c r="B13" s="9">
        <f t="shared" si="6"/>
        <v>6.3762744666222795E-2</v>
      </c>
      <c r="C13" s="8">
        <v>0.51</v>
      </c>
      <c r="D13" s="9">
        <f t="shared" si="0"/>
        <v>0.38994854243367622</v>
      </c>
      <c r="E13" s="8">
        <v>0.94</v>
      </c>
      <c r="F13" s="9">
        <f t="shared" si="1"/>
        <v>0.65278257312730359</v>
      </c>
      <c r="G13" s="8">
        <v>1.37</v>
      </c>
      <c r="H13" s="9">
        <f t="shared" si="2"/>
        <v>0.82931950643793728</v>
      </c>
      <c r="J13" s="8">
        <v>1.8</v>
      </c>
      <c r="K13" s="9">
        <f t="shared" si="7"/>
        <v>0.92823544816871661</v>
      </c>
      <c r="L13" s="8">
        <v>2.23</v>
      </c>
      <c r="M13" s="9">
        <f t="shared" si="3"/>
        <v>0.97495920513685164</v>
      </c>
      <c r="N13" s="8">
        <v>2.66</v>
      </c>
      <c r="O13" s="9">
        <f t="shared" si="4"/>
        <v>0.9954152286782848</v>
      </c>
      <c r="P13" s="8">
        <v>3.09</v>
      </c>
      <c r="Q13" s="9">
        <f t="shared" si="5"/>
        <v>1.0084935279622038</v>
      </c>
    </row>
    <row r="14" spans="1:17" x14ac:dyDescent="0.25">
      <c r="A14" s="8">
        <v>0.09</v>
      </c>
      <c r="B14" s="9">
        <f t="shared" si="6"/>
        <v>7.1712785888355474E-2</v>
      </c>
      <c r="C14" s="8">
        <v>0.52</v>
      </c>
      <c r="D14" s="9">
        <f t="shared" si="0"/>
        <v>0.39693642925471467</v>
      </c>
      <c r="E14" s="8">
        <v>0.95</v>
      </c>
      <c r="F14" s="9">
        <f t="shared" si="1"/>
        <v>0.65788789627032918</v>
      </c>
      <c r="G14" s="8">
        <v>1.38</v>
      </c>
      <c r="H14" s="9">
        <f t="shared" si="2"/>
        <v>0.83242025465083358</v>
      </c>
      <c r="J14" s="8">
        <v>1.81</v>
      </c>
      <c r="K14" s="9">
        <f t="shared" si="7"/>
        <v>0.9298055572615429</v>
      </c>
      <c r="L14" s="8">
        <v>2.2400000000000002</v>
      </c>
      <c r="M14" s="9">
        <f t="shared" si="3"/>
        <v>0.97564462552225384</v>
      </c>
      <c r="N14" s="8">
        <v>2.67</v>
      </c>
      <c r="O14" s="9">
        <f t="shared" si="4"/>
        <v>0.99574543878503508</v>
      </c>
      <c r="P14" s="8">
        <v>3.1</v>
      </c>
      <c r="Q14" s="9">
        <f t="shared" si="5"/>
        <v>1.0088160071361101</v>
      </c>
    </row>
    <row r="15" spans="1:17" x14ac:dyDescent="0.25">
      <c r="A15" s="8">
        <v>0.1</v>
      </c>
      <c r="B15" s="9">
        <f t="shared" si="6"/>
        <v>7.9655675351826175E-2</v>
      </c>
      <c r="C15" s="8">
        <v>0.53</v>
      </c>
      <c r="D15" s="9">
        <f t="shared" si="0"/>
        <v>0.40388807368734997</v>
      </c>
      <c r="E15" s="8">
        <v>0.96</v>
      </c>
      <c r="F15" s="9">
        <f t="shared" si="1"/>
        <v>0.66294495061834824</v>
      </c>
      <c r="G15" s="8">
        <v>1.39</v>
      </c>
      <c r="H15" s="9">
        <f t="shared" si="2"/>
        <v>0.83547854667731836</v>
      </c>
      <c r="J15" s="8">
        <v>1.82</v>
      </c>
      <c r="K15" s="9">
        <f t="shared" si="7"/>
        <v>0.93134784556279848</v>
      </c>
      <c r="L15" s="8">
        <v>2.25</v>
      </c>
      <c r="M15" s="9">
        <f t="shared" si="3"/>
        <v>0.9763164931988495</v>
      </c>
      <c r="N15" s="8">
        <v>2.68</v>
      </c>
      <c r="O15" s="9">
        <f t="shared" si="4"/>
        <v>0.99607217115172864</v>
      </c>
      <c r="P15" s="8">
        <v>3.11</v>
      </c>
      <c r="Q15" s="9">
        <f t="shared" si="5"/>
        <v>1.0091412177521586</v>
      </c>
    </row>
    <row r="16" spans="1:17" x14ac:dyDescent="0.25">
      <c r="A16" s="8">
        <v>0.11</v>
      </c>
      <c r="B16" s="9">
        <f t="shared" si="6"/>
        <v>8.7590625962151808E-2</v>
      </c>
      <c r="C16" s="8">
        <v>0.54</v>
      </c>
      <c r="D16" s="9">
        <f t="shared" si="0"/>
        <v>0.41080297218425071</v>
      </c>
      <c r="E16" s="8">
        <v>0.97</v>
      </c>
      <c r="F16" s="9">
        <f t="shared" si="1"/>
        <v>0.66795369181745401</v>
      </c>
      <c r="G16" s="8">
        <v>1.4</v>
      </c>
      <c r="H16" s="9">
        <f t="shared" si="2"/>
        <v>0.83849466518797211</v>
      </c>
      <c r="J16" s="8">
        <v>1.83</v>
      </c>
      <c r="K16" s="9">
        <f t="shared" si="7"/>
        <v>0.93286267532095768</v>
      </c>
      <c r="L16" s="8">
        <v>2.2599999999999998</v>
      </c>
      <c r="M16" s="9">
        <f t="shared" si="3"/>
        <v>0.97697509406452898</v>
      </c>
      <c r="N16" s="8">
        <v>2.69</v>
      </c>
      <c r="O16" s="9">
        <f t="shared" si="4"/>
        <v>0.99639560895526802</v>
      </c>
      <c r="P16" s="8">
        <v>3.12</v>
      </c>
      <c r="Q16" s="9">
        <f t="shared" si="5"/>
        <v>1.0094692690055664</v>
      </c>
    </row>
    <row r="17" spans="1:17" x14ac:dyDescent="0.25">
      <c r="A17" s="8">
        <v>0.12</v>
      </c>
      <c r="B17" s="9">
        <f t="shared" si="6"/>
        <v>9.5516852998428312E-2</v>
      </c>
      <c r="C17" s="8">
        <v>0.55000000000000004</v>
      </c>
      <c r="D17" s="9">
        <f t="shared" si="0"/>
        <v>0.41768063118939774</v>
      </c>
      <c r="E17" s="8">
        <v>0.98</v>
      </c>
      <c r="F17" s="9">
        <f t="shared" si="1"/>
        <v>0.67291408556661547</v>
      </c>
      <c r="G17" s="8">
        <v>1.41</v>
      </c>
      <c r="H17" s="9">
        <f t="shared" si="2"/>
        <v>0.84146889745240006</v>
      </c>
      <c r="J17" s="8">
        <v>1.84</v>
      </c>
      <c r="K17" s="9">
        <f t="shared" si="7"/>
        <v>0.93435040820967208</v>
      </c>
      <c r="L17" s="8">
        <v>2.27</v>
      </c>
      <c r="M17" s="9">
        <f t="shared" si="3"/>
        <v>0.97762071154259511</v>
      </c>
      <c r="N17" s="8">
        <v>2.7</v>
      </c>
      <c r="O17" s="9">
        <f t="shared" si="4"/>
        <v>0.99671593327489638</v>
      </c>
      <c r="P17" s="8">
        <v>3.13</v>
      </c>
      <c r="Q17" s="9">
        <f t="shared" si="5"/>
        <v>1.009800268718696</v>
      </c>
    </row>
    <row r="18" spans="1:17" x14ac:dyDescent="0.25">
      <c r="A18" s="8">
        <v>0.13</v>
      </c>
      <c r="B18" s="9">
        <f t="shared" si="6"/>
        <v>0.10343357434611698</v>
      </c>
      <c r="C18" s="8">
        <v>0.56000000000000005</v>
      </c>
      <c r="D18" s="9">
        <f t="shared" si="0"/>
        <v>0.42452056723247189</v>
      </c>
      <c r="E18" s="8">
        <v>0.99</v>
      </c>
      <c r="F18" s="9">
        <f t="shared" si="1"/>
        <v>0.6778261075322779</v>
      </c>
      <c r="G18" s="8">
        <v>1.42</v>
      </c>
      <c r="H18" s="9">
        <f t="shared" si="2"/>
        <v>0.84440153519514305</v>
      </c>
      <c r="J18" s="8">
        <v>1.85</v>
      </c>
      <c r="K18" s="9">
        <f t="shared" si="7"/>
        <v>0.93581140524429474</v>
      </c>
      <c r="L18" s="8">
        <v>2.2799999999999998</v>
      </c>
      <c r="M18" s="9">
        <f t="shared" si="3"/>
        <v>0.97825362657305781</v>
      </c>
      <c r="N18" s="8">
        <v>2.71</v>
      </c>
      <c r="O18" s="9">
        <f t="shared" si="4"/>
        <v>0.99703332311075632</v>
      </c>
      <c r="P18" s="8">
        <v>3.14</v>
      </c>
      <c r="Q18" s="9">
        <f t="shared" si="5"/>
        <v>1.0101343233535545</v>
      </c>
    </row>
    <row r="19" spans="1:17" x14ac:dyDescent="0.25">
      <c r="A19" s="8">
        <v>0.14000000000000001</v>
      </c>
      <c r="B19" s="9">
        <f t="shared" si="6"/>
        <v>0.1113400107285327</v>
      </c>
      <c r="C19" s="8">
        <v>0.56999999999999995</v>
      </c>
      <c r="D19" s="9">
        <f t="shared" si="0"/>
        <v>0.43132230701871377</v>
      </c>
      <c r="E19" s="8">
        <v>1</v>
      </c>
      <c r="F19" s="9">
        <f t="shared" si="1"/>
        <v>0.68268974325986997</v>
      </c>
      <c r="G19" s="8">
        <v>1.43</v>
      </c>
      <c r="H19" s="9">
        <f t="shared" si="2"/>
        <v>0.84729287445198298</v>
      </c>
      <c r="J19" s="8">
        <v>1.86</v>
      </c>
      <c r="K19" s="9">
        <f t="shared" si="7"/>
        <v>0.93724602670039414</v>
      </c>
      <c r="L19" s="8">
        <v>2.29</v>
      </c>
      <c r="M19" s="9">
        <f t="shared" si="3"/>
        <v>0.97887411760516085</v>
      </c>
      <c r="N19" s="8">
        <v>2.72</v>
      </c>
      <c r="O19" s="9">
        <f t="shared" si="4"/>
        <v>0.99734795540254306</v>
      </c>
      <c r="P19" s="8">
        <v>3.15</v>
      </c>
      <c r="Q19" s="9">
        <f t="shared" si="5"/>
        <v>1.0104715380240501</v>
      </c>
    </row>
    <row r="20" spans="1:17" x14ac:dyDescent="0.25">
      <c r="A20" s="8">
        <v>0.15</v>
      </c>
      <c r="B20" s="9">
        <f t="shared" si="6"/>
        <v>0.11923538593692037</v>
      </c>
      <c r="C20" s="8">
        <v>0.57999999999999996</v>
      </c>
      <c r="D20" s="9">
        <f t="shared" si="0"/>
        <v>0.43808538751423709</v>
      </c>
      <c r="E20" s="8">
        <v>1.01</v>
      </c>
      <c r="F20" s="9">
        <f t="shared" si="1"/>
        <v>0.68750498808229343</v>
      </c>
      <c r="G20" s="8">
        <v>1.44</v>
      </c>
      <c r="H20" s="9">
        <f t="shared" si="2"/>
        <v>0.85014321542670557</v>
      </c>
      <c r="J20" s="8">
        <v>1.87</v>
      </c>
      <c r="K20" s="9">
        <f t="shared" si="7"/>
        <v>0.93865463203425392</v>
      </c>
      <c r="L20" s="8">
        <v>2.2999999999999998</v>
      </c>
      <c r="M20" s="9">
        <f t="shared" si="3"/>
        <v>0.97948246059111299</v>
      </c>
      <c r="N20" s="8">
        <v>2.73</v>
      </c>
      <c r="O20" s="9">
        <f t="shared" si="4"/>
        <v>0.99766000504823793</v>
      </c>
      <c r="P20" s="8">
        <v>3.16</v>
      </c>
      <c r="Q20" s="9">
        <f t="shared" si="5"/>
        <v>1.0108120165079912</v>
      </c>
    </row>
    <row r="21" spans="1:17" x14ac:dyDescent="0.25">
      <c r="A21" s="8">
        <v>0.16</v>
      </c>
      <c r="B21" s="9">
        <f t="shared" si="6"/>
        <v>0.12711892705900629</v>
      </c>
      <c r="C21" s="8">
        <v>0.59</v>
      </c>
      <c r="D21" s="9">
        <f t="shared" si="0"/>
        <v>0.44480935602677574</v>
      </c>
      <c r="E21" s="8">
        <v>1.02</v>
      </c>
      <c r="F21" s="9">
        <f t="shared" si="1"/>
        <v>0.69227184702546984</v>
      </c>
      <c r="G21" s="8">
        <v>1.45</v>
      </c>
      <c r="H21" s="9">
        <f t="shared" si="2"/>
        <v>0.85295286234839551</v>
      </c>
      <c r="J21" s="8">
        <v>1.88</v>
      </c>
      <c r="K21" s="9">
        <f t="shared" si="7"/>
        <v>0.94003757980536118</v>
      </c>
      <c r="L21" s="8">
        <v>2.31</v>
      </c>
      <c r="M21" s="9">
        <f t="shared" si="3"/>
        <v>0.98007892898098847</v>
      </c>
      <c r="N21" s="8">
        <v>2.74</v>
      </c>
      <c r="O21" s="9">
        <f t="shared" si="4"/>
        <v>0.99796964492290474</v>
      </c>
      <c r="P21" s="8">
        <v>3.17</v>
      </c>
      <c r="Q21" s="9">
        <f t="shared" si="5"/>
        <v>1.01115586125884</v>
      </c>
    </row>
    <row r="22" spans="1:17" x14ac:dyDescent="0.25">
      <c r="A22" s="8">
        <v>0.17</v>
      </c>
      <c r="B22" s="9">
        <f t="shared" si="6"/>
        <v>0.13498986470591201</v>
      </c>
      <c r="C22" s="8">
        <v>0.6</v>
      </c>
      <c r="D22" s="9">
        <f t="shared" si="0"/>
        <v>0.45149377028185522</v>
      </c>
      <c r="E22" s="8">
        <v>1.03</v>
      </c>
      <c r="F22" s="9">
        <f t="shared" si="1"/>
        <v>0.69699033471102889</v>
      </c>
      <c r="G22" s="8">
        <v>1.46</v>
      </c>
      <c r="H22" s="9">
        <f t="shared" si="2"/>
        <v>0.85572212332932251</v>
      </c>
      <c r="J22" s="8">
        <v>1.89</v>
      </c>
      <c r="K22" s="9">
        <f t="shared" si="7"/>
        <v>0.94139522760088934</v>
      </c>
      <c r="L22" s="8">
        <v>2.3199999999999998</v>
      </c>
      <c r="M22" s="9">
        <f t="shared" si="3"/>
        <v>0.98066379371877099</v>
      </c>
      <c r="N22" s="8">
        <v>2.75</v>
      </c>
      <c r="O22" s="9">
        <f t="shared" si="4"/>
        <v>0.99827704589753052</v>
      </c>
      <c r="P22" s="8">
        <v>3.18</v>
      </c>
      <c r="Q22" s="9">
        <f t="shared" si="5"/>
        <v>1.0115031734172164</v>
      </c>
    </row>
    <row r="23" spans="1:17" x14ac:dyDescent="0.25">
      <c r="A23" s="8">
        <v>0.18</v>
      </c>
      <c r="B23" s="9">
        <f t="shared" si="6"/>
        <v>0.14284743323731983</v>
      </c>
      <c r="C23" s="8">
        <v>0.61</v>
      </c>
      <c r="D23" s="9">
        <f t="shared" si="0"/>
        <v>0.45813819849437226</v>
      </c>
      <c r="E23" s="8">
        <v>1.04</v>
      </c>
      <c r="F23" s="9">
        <f t="shared" si="1"/>
        <v>0.70166047525620823</v>
      </c>
      <c r="G23" s="8">
        <v>1.47</v>
      </c>
      <c r="H23" s="9">
        <f t="shared" si="2"/>
        <v>0.85845131022348786</v>
      </c>
      <c r="J23" s="8">
        <v>1.9</v>
      </c>
      <c r="K23" s="9">
        <f t="shared" si="7"/>
        <v>0.94272793196216742</v>
      </c>
      <c r="L23" s="8">
        <v>2.33</v>
      </c>
      <c r="M23" s="9">
        <f t="shared" si="3"/>
        <v>0.98123732323951096</v>
      </c>
      <c r="N23" s="8">
        <v>2.76</v>
      </c>
      <c r="O23" s="9">
        <f t="shared" si="4"/>
        <v>0.99858237685789486</v>
      </c>
      <c r="P23" s="8">
        <v>3.19</v>
      </c>
      <c r="Q23" s="9">
        <f t="shared" si="5"/>
        <v>1.0118540528221545</v>
      </c>
    </row>
    <row r="24" spans="1:17" x14ac:dyDescent="0.25">
      <c r="A24" s="8">
        <v>0.19</v>
      </c>
      <c r="B24" s="9">
        <f t="shared" si="6"/>
        <v>0.1506908709847809</v>
      </c>
      <c r="C24" s="8">
        <v>0.62</v>
      </c>
      <c r="D24" s="9">
        <f t="shared" si="0"/>
        <v>0.46474221943557698</v>
      </c>
      <c r="E24" s="8">
        <v>1.05</v>
      </c>
      <c r="F24" s="9">
        <f t="shared" si="1"/>
        <v>0.70628230217105503</v>
      </c>
      <c r="G24" s="8">
        <v>1.48</v>
      </c>
      <c r="H24" s="9">
        <f t="shared" si="2"/>
        <v>0.86114073848589079</v>
      </c>
      <c r="J24" s="8">
        <v>1.91</v>
      </c>
      <c r="K24" s="9">
        <f t="shared" si="7"/>
        <v>0.94403604831313792</v>
      </c>
      <c r="L24" s="8">
        <v>2.34</v>
      </c>
      <c r="M24" s="9">
        <f t="shared" si="3"/>
        <v>0.98179978346756236</v>
      </c>
      <c r="N24" s="8">
        <v>2.77</v>
      </c>
      <c r="O24" s="9">
        <f t="shared" si="4"/>
        <v>0.99888580472345201</v>
      </c>
      <c r="P24" s="8">
        <v>3.2</v>
      </c>
      <c r="Q24" s="9">
        <f t="shared" si="5"/>
        <v>1.0122085980221156</v>
      </c>
    </row>
    <row r="25" spans="1:17" x14ac:dyDescent="0.25">
      <c r="A25" s="8">
        <v>0.2</v>
      </c>
      <c r="B25" s="9">
        <f t="shared" si="6"/>
        <v>0.1585194204730557</v>
      </c>
      <c r="C25" s="8">
        <v>0.63</v>
      </c>
      <c r="D25" s="9">
        <f t="shared" si="0"/>
        <v>0.47130542249545054</v>
      </c>
      <c r="E25" s="8">
        <v>1.06</v>
      </c>
      <c r="F25" s="9">
        <f t="shared" si="1"/>
        <v>0.71085585825300113</v>
      </c>
      <c r="G25" s="8">
        <v>1.49</v>
      </c>
      <c r="H25" s="9">
        <f t="shared" si="2"/>
        <v>0.86379072703258242</v>
      </c>
      <c r="J25" s="8">
        <v>1.92</v>
      </c>
      <c r="K25" s="9">
        <f t="shared" si="7"/>
        <v>0.94531993089080069</v>
      </c>
      <c r="L25" s="8">
        <v>2.35</v>
      </c>
      <c r="M25" s="9">
        <f t="shared" si="3"/>
        <v>0.98235143781587164</v>
      </c>
      <c r="N25" s="8">
        <v>2.78</v>
      </c>
      <c r="O25" s="9">
        <f t="shared" si="4"/>
        <v>0.99918749446620991</v>
      </c>
      <c r="P25" s="8">
        <v>3.21</v>
      </c>
      <c r="Q25" s="9">
        <f t="shared" si="5"/>
        <v>1.0125669062857543</v>
      </c>
    </row>
    <row r="26" spans="1:17" x14ac:dyDescent="0.25">
      <c r="A26" s="8">
        <v>0.21</v>
      </c>
      <c r="B26" s="9">
        <f t="shared" si="6"/>
        <v>0.16633232863938194</v>
      </c>
      <c r="C26" s="8">
        <v>0.64</v>
      </c>
      <c r="D26" s="9">
        <f t="shared" si="0"/>
        <v>0.47782740774047727</v>
      </c>
      <c r="E26" s="8">
        <v>1.07</v>
      </c>
      <c r="F26" s="9">
        <f t="shared" si="1"/>
        <v>0.71538119547889933</v>
      </c>
      <c r="G26" s="8">
        <v>1.5</v>
      </c>
      <c r="H26" s="9">
        <f t="shared" si="2"/>
        <v>0.8664015981015587</v>
      </c>
      <c r="J26" s="8">
        <v>1.93</v>
      </c>
      <c r="K26" s="9">
        <f t="shared" si="7"/>
        <v>0.94657993267763518</v>
      </c>
      <c r="L26" s="8">
        <v>2.36</v>
      </c>
      <c r="M26" s="9">
        <f t="shared" si="3"/>
        <v>0.98289254718628938</v>
      </c>
      <c r="N26" s="8">
        <v>2.79</v>
      </c>
      <c r="O26" s="9">
        <f t="shared" si="4"/>
        <v>0.99948760912959089</v>
      </c>
      <c r="P26" s="8">
        <v>3.22</v>
      </c>
      <c r="Q26" s="9">
        <f t="shared" si="5"/>
        <v>1.0129290736124468</v>
      </c>
    </row>
    <row r="27" spans="1:17" x14ac:dyDescent="0.25">
      <c r="A27" s="8">
        <v>0.22</v>
      </c>
      <c r="B27" s="9">
        <f t="shared" si="6"/>
        <v>0.17412884705056264</v>
      </c>
      <c r="C27" s="8">
        <v>0.65</v>
      </c>
      <c r="D27" s="9">
        <f t="shared" si="0"/>
        <v>0.4843077859668094</v>
      </c>
      <c r="E27" s="8">
        <v>1.08</v>
      </c>
      <c r="F27" s="9">
        <f t="shared" si="1"/>
        <v>0.71985837489460103</v>
      </c>
      <c r="G27" s="8">
        <v>1.51</v>
      </c>
      <c r="H27" s="9">
        <f t="shared" si="2"/>
        <v>0.86897367711456153</v>
      </c>
      <c r="J27" s="8">
        <v>1.94</v>
      </c>
      <c r="K27" s="9">
        <f t="shared" si="7"/>
        <v>0.94781640533599743</v>
      </c>
      <c r="L27" s="8">
        <v>2.37</v>
      </c>
      <c r="M27" s="9">
        <f t="shared" si="3"/>
        <v>0.9834233699708731</v>
      </c>
      <c r="N27" s="8">
        <v>2.7999999999999901</v>
      </c>
      <c r="O27" s="9">
        <f t="shared" si="4"/>
        <v>0.99978630984726047</v>
      </c>
      <c r="P27" s="8">
        <v>3.23</v>
      </c>
      <c r="Q27" s="9">
        <f t="shared" si="5"/>
        <v>1.0132951947425775</v>
      </c>
    </row>
    <row r="28" spans="1:17" x14ac:dyDescent="0.25">
      <c r="A28" s="8">
        <v>0.23</v>
      </c>
      <c r="B28" s="9">
        <f t="shared" si="6"/>
        <v>0.18190823211777032</v>
      </c>
      <c r="C28" s="8">
        <v>0.66</v>
      </c>
      <c r="D28" s="9">
        <f t="shared" si="0"/>
        <v>0.49074617874882737</v>
      </c>
      <c r="E28" s="8">
        <v>1.0900000000000001</v>
      </c>
      <c r="F28" s="9">
        <f t="shared" si="1"/>
        <v>0.72428746650215758</v>
      </c>
      <c r="G28" s="8">
        <v>1.52</v>
      </c>
      <c r="H28" s="9">
        <f t="shared" si="2"/>
        <v>0.87150729253983739</v>
      </c>
      <c r="J28" s="8">
        <v>1.95</v>
      </c>
      <c r="K28" s="9">
        <f t="shared" si="7"/>
        <v>0.94902969914448487</v>
      </c>
      <c r="L28" s="8">
        <v>2.38</v>
      </c>
      <c r="M28" s="9">
        <f t="shared" si="3"/>
        <v>0.98394416205414803</v>
      </c>
      <c r="N28" s="8">
        <v>2.81</v>
      </c>
      <c r="O28" s="9">
        <f t="shared" si="4"/>
        <v>1.0000837558619105</v>
      </c>
      <c r="P28" s="8">
        <v>3.24</v>
      </c>
      <c r="Q28" s="9">
        <f t="shared" si="5"/>
        <v>1.0136653631675889</v>
      </c>
    </row>
    <row r="29" spans="1:17" x14ac:dyDescent="0.25">
      <c r="A29" s="8">
        <v>0.24</v>
      </c>
      <c r="B29" s="9">
        <f t="shared" si="6"/>
        <v>0.18966974530896583</v>
      </c>
      <c r="C29" s="8">
        <v>0.67</v>
      </c>
      <c r="D29" s="9">
        <f t="shared" si="0"/>
        <v>0.49714221848310269</v>
      </c>
      <c r="E29" s="8">
        <v>1.1000000000000001</v>
      </c>
      <c r="F29" s="9">
        <f t="shared" si="1"/>
        <v>0.72866854914473089</v>
      </c>
      <c r="G29" s="8">
        <v>1.53</v>
      </c>
      <c r="H29" s="9">
        <f t="shared" si="2"/>
        <v>0.87400277575591379</v>
      </c>
      <c r="J29" s="8">
        <v>1.96</v>
      </c>
      <c r="K29" s="9">
        <f t="shared" si="7"/>
        <v>0.95022016293625944</v>
      </c>
      <c r="L29" s="8">
        <v>2.3900000000000099</v>
      </c>
      <c r="M29" s="9">
        <f t="shared" si="3"/>
        <v>0.98445517681630357</v>
      </c>
      <c r="N29" s="8">
        <v>2.8199999999999901</v>
      </c>
      <c r="O29" s="9">
        <f t="shared" si="4"/>
        <v>1.0003801045439775</v>
      </c>
      <c r="P29" s="8">
        <v>3.2500000000000102</v>
      </c>
      <c r="Q29" s="9">
        <f t="shared" si="5"/>
        <v>1.0140396711398003</v>
      </c>
    </row>
    <row r="30" spans="1:17" x14ac:dyDescent="0.25">
      <c r="A30" s="8">
        <v>0.25</v>
      </c>
      <c r="B30" s="9">
        <f t="shared" si="6"/>
        <v>0.19741265335882971</v>
      </c>
      <c r="C30" s="8">
        <v>0.68</v>
      </c>
      <c r="D30" s="9">
        <f t="shared" si="0"/>
        <v>0.50349554842776989</v>
      </c>
      <c r="E30" s="8">
        <v>1.1100000000000001</v>
      </c>
      <c r="F30" s="9">
        <f t="shared" si="1"/>
        <v>0.73300171038929562</v>
      </c>
      <c r="G30" s="8">
        <v>1.54</v>
      </c>
      <c r="H30" s="9">
        <f t="shared" si="2"/>
        <v>0.8764604609164478</v>
      </c>
      <c r="J30" s="8">
        <v>1.97</v>
      </c>
      <c r="K30" s="9">
        <f t="shared" si="7"/>
        <v>0.95138814403932048</v>
      </c>
      <c r="L30" s="8">
        <v>2.4000000000000101</v>
      </c>
      <c r="M30" s="9">
        <f t="shared" si="3"/>
        <v>0.9849566651372843</v>
      </c>
      <c r="N30" s="8">
        <v>2.83</v>
      </c>
      <c r="O30" s="9">
        <f t="shared" si="4"/>
        <v>1.0006755114102985</v>
      </c>
      <c r="P30" s="8">
        <v>3.26000000000001</v>
      </c>
      <c r="Q30" s="9">
        <f t="shared" si="5"/>
        <v>1.01441820968199</v>
      </c>
    </row>
    <row r="31" spans="1:17" x14ac:dyDescent="0.25">
      <c r="A31" s="8">
        <v>0.26</v>
      </c>
      <c r="B31" s="9">
        <f t="shared" si="6"/>
        <v>0.20513622847610719</v>
      </c>
      <c r="C31" s="8">
        <v>0.69</v>
      </c>
      <c r="D31" s="9">
        <f t="shared" si="0"/>
        <v>0.50980582273731989</v>
      </c>
      <c r="E31" s="8">
        <v>1.1200000000000001</v>
      </c>
      <c r="F31" s="9">
        <f t="shared" si="1"/>
        <v>0.73728704640721743</v>
      </c>
      <c r="G31" s="8">
        <v>1.55</v>
      </c>
      <c r="H31" s="9">
        <f t="shared" si="2"/>
        <v>0.87888068481619863</v>
      </c>
      <c r="J31" s="8">
        <v>1.98</v>
      </c>
      <c r="K31" s="9">
        <f t="shared" si="7"/>
        <v>0.95253398821871738</v>
      </c>
      <c r="L31" s="8">
        <v>2.4100000000000099</v>
      </c>
      <c r="M31" s="9">
        <f t="shared" si="3"/>
        <v>0.98544887540176163</v>
      </c>
      <c r="N31" s="8">
        <v>2.8399999999999901</v>
      </c>
      <c r="O31" s="9">
        <f t="shared" si="4"/>
        <v>1.0009701301426677</v>
      </c>
      <c r="P31" s="8">
        <v>3.2700000000000098</v>
      </c>
      <c r="Q31" s="9">
        <f t="shared" si="5"/>
        <v>1.0148010685967552</v>
      </c>
    </row>
    <row r="32" spans="1:17" x14ac:dyDescent="0.25">
      <c r="A32" s="8">
        <v>0.27</v>
      </c>
      <c r="B32" s="9">
        <f t="shared" si="6"/>
        <v>0.21283974854826959</v>
      </c>
      <c r="C32" s="8">
        <v>0.7</v>
      </c>
      <c r="D32" s="9">
        <f t="shared" si="0"/>
        <v>0.51607270649282733</v>
      </c>
      <c r="E32" s="8">
        <v>1.1299999999999999</v>
      </c>
      <c r="F32" s="9">
        <f t="shared" si="1"/>
        <v>0.74152466185279531</v>
      </c>
      <c r="G32" s="8">
        <v>1.56</v>
      </c>
      <c r="H32" s="9">
        <f t="shared" si="2"/>
        <v>0.88126378675817485</v>
      </c>
      <c r="J32" s="8">
        <v>1.99</v>
      </c>
      <c r="K32" s="9">
        <f t="shared" si="7"/>
        <v>0.95365803962069196</v>
      </c>
      <c r="L32" s="8">
        <v>2.4200000000000101</v>
      </c>
      <c r="M32" s="9">
        <f t="shared" si="3"/>
        <v>0.98593205350493784</v>
      </c>
      <c r="N32" s="8">
        <v>2.8499999999999899</v>
      </c>
      <c r="O32" s="9">
        <f t="shared" si="4"/>
        <v>1.0012641126063089</v>
      </c>
      <c r="P32" s="8">
        <v>3.28000000000001</v>
      </c>
      <c r="Q32" s="9">
        <f t="shared" si="5"/>
        <v>1.0151883364756442</v>
      </c>
    </row>
    <row r="33" spans="1:17" x14ac:dyDescent="0.25">
      <c r="A33" s="8">
        <v>0.28000000000000003</v>
      </c>
      <c r="B33" s="9">
        <f t="shared" si="6"/>
        <v>0.22052249734339643</v>
      </c>
      <c r="C33" s="8">
        <v>0.71</v>
      </c>
      <c r="D33" s="9">
        <f t="shared" si="0"/>
        <v>0.52229587572762914</v>
      </c>
      <c r="E33" s="8">
        <v>1.1399999999999999</v>
      </c>
      <c r="F33" s="9">
        <f t="shared" si="1"/>
        <v>0.74571466973984868</v>
      </c>
      <c r="G33" s="8">
        <v>1.57</v>
      </c>
      <c r="H33" s="9">
        <f t="shared" si="2"/>
        <v>0.8836101084220116</v>
      </c>
      <c r="J33" s="8">
        <v>2</v>
      </c>
      <c r="K33" s="9">
        <f t="shared" si="7"/>
        <v>0.95476064071873246</v>
      </c>
      <c r="L33" s="8">
        <v>2.4300000000000099</v>
      </c>
      <c r="M33" s="9">
        <f t="shared" si="3"/>
        <v>0.9864064428591669</v>
      </c>
      <c r="N33" s="8">
        <v>2.8599999999999901</v>
      </c>
      <c r="O33" s="9">
        <f t="shared" si="4"/>
        <v>1.0015576088682305</v>
      </c>
      <c r="P33" s="8">
        <v>3.2900000000000098</v>
      </c>
      <c r="Q33" s="9">
        <f t="shared" si="5"/>
        <v>1.0155801007080663</v>
      </c>
    </row>
    <row r="34" spans="1:17" x14ac:dyDescent="0.25">
      <c r="A34" s="8">
        <v>0.28999999999999998</v>
      </c>
      <c r="B34" s="9">
        <f t="shared" si="6"/>
        <v>0.22818376470918414</v>
      </c>
      <c r="C34" s="8">
        <v>0.72</v>
      </c>
      <c r="D34" s="9">
        <f t="shared" si="0"/>
        <v>0.52847501744847314</v>
      </c>
      <c r="E34" s="8">
        <v>1.1499999999999999</v>
      </c>
      <c r="F34" s="9">
        <f t="shared" si="1"/>
        <v>0.74985719131643669</v>
      </c>
      <c r="G34" s="8">
        <v>1.58</v>
      </c>
      <c r="H34" s="9">
        <f t="shared" si="2"/>
        <v>0.88591999373361652</v>
      </c>
      <c r="J34" s="8">
        <v>2.0099999999999998</v>
      </c>
      <c r="K34" s="9">
        <f t="shared" si="7"/>
        <v>0.95584213226153292</v>
      </c>
      <c r="L34" s="8">
        <v>2.4400000000000102</v>
      </c>
      <c r="M34" s="9">
        <f t="shared" si="3"/>
        <v>0.9868722844013551</v>
      </c>
      <c r="N34" s="8">
        <v>2.8699999999999899</v>
      </c>
      <c r="O34" s="9">
        <f t="shared" si="4"/>
        <v>1.0018507672154631</v>
      </c>
      <c r="P34" s="8">
        <v>3.30000000000001</v>
      </c>
      <c r="Q34" s="9">
        <f t="shared" si="5"/>
        <v>1.0159764474899868</v>
      </c>
    </row>
    <row r="35" spans="1:17" x14ac:dyDescent="0.25">
      <c r="A35" s="8">
        <v>0.3</v>
      </c>
      <c r="B35" s="9">
        <f t="shared" si="6"/>
        <v>0.2358228467689906</v>
      </c>
      <c r="C35" s="8">
        <v>0.73</v>
      </c>
      <c r="D35" s="9">
        <f t="shared" si="0"/>
        <v>0.53460982965215764</v>
      </c>
      <c r="E35" s="8">
        <v>1.1599999999999999</v>
      </c>
      <c r="F35" s="9">
        <f>FR(E35)</f>
        <v>0.75395235593779875</v>
      </c>
      <c r="G35" s="8">
        <v>1.59</v>
      </c>
      <c r="H35" s="9">
        <f t="shared" si="2"/>
        <v>0.88819378873614263</v>
      </c>
      <c r="J35" s="8">
        <v>2.02</v>
      </c>
      <c r="K35" s="9">
        <f t="shared" si="7"/>
        <v>0.95690285322283908</v>
      </c>
      <c r="L35" s="8">
        <v>2.4500000000000099</v>
      </c>
      <c r="M35" s="9">
        <f t="shared" si="3"/>
        <v>0.98732981660112051</v>
      </c>
      <c r="N35" s="8">
        <v>2.8799999999999901</v>
      </c>
      <c r="O35" s="9">
        <f t="shared" si="4"/>
        <v>1.0021437341731696</v>
      </c>
      <c r="P35" s="8">
        <v>3.3100000000000098</v>
      </c>
      <c r="Q35" s="9">
        <f t="shared" si="5"/>
        <v>1.0163774618324048</v>
      </c>
    </row>
    <row r="36" spans="1:17" x14ac:dyDescent="0.25">
      <c r="A36" s="8">
        <v>0.31</v>
      </c>
      <c r="B36" s="9">
        <f t="shared" si="6"/>
        <v>0.24343904611482425</v>
      </c>
      <c r="C36" s="8">
        <v>0.74</v>
      </c>
      <c r="D36" s="9">
        <f t="shared" si="0"/>
        <v>0.54070002133768724</v>
      </c>
      <c r="E36" s="8">
        <v>1.17</v>
      </c>
      <c r="F36" s="9">
        <f>FR(E36)</f>
        <v>0.75800030093759574</v>
      </c>
      <c r="G36" s="8">
        <v>1.6</v>
      </c>
      <c r="H36" s="9">
        <f t="shared" si="2"/>
        <v>0.89043184146232379</v>
      </c>
      <c r="J36" s="8">
        <v>2.0299999999999998</v>
      </c>
      <c r="K36" s="9">
        <f t="shared" si="7"/>
        <v>0.95794314075316522</v>
      </c>
      <c r="L36" s="8">
        <v>2.4600000000000102</v>
      </c>
      <c r="M36" s="9">
        <f t="shared" si="3"/>
        <v>0.9877792754696697</v>
      </c>
      <c r="N36" s="8">
        <v>2.8899999999999899</v>
      </c>
      <c r="O36" s="9">
        <f t="shared" si="4"/>
        <v>1.0024366545226095</v>
      </c>
      <c r="P36" s="8">
        <v>3.3200000000000101</v>
      </c>
      <c r="Q36" s="9">
        <f t="shared" si="5"/>
        <v>1.0167832275696238</v>
      </c>
    </row>
    <row r="37" spans="1:17" x14ac:dyDescent="0.25">
      <c r="A37" s="8">
        <v>0.32</v>
      </c>
      <c r="B37" s="9">
        <f t="shared" si="6"/>
        <v>0.25103167199719195</v>
      </c>
      <c r="C37" s="8">
        <v>0.75</v>
      </c>
      <c r="D37" s="9">
        <f t="shared" si="0"/>
        <v>0.54674531251397163</v>
      </c>
      <c r="E37" s="8">
        <v>1.18</v>
      </c>
      <c r="F37" s="9">
        <f t="shared" si="1"/>
        <v>0.76200117149754265</v>
      </c>
      <c r="G37" s="8">
        <v>1.61</v>
      </c>
      <c r="H37" s="9">
        <f t="shared" si="2"/>
        <v>0.89263450180822335</v>
      </c>
      <c r="J37" s="8">
        <v>2.04</v>
      </c>
      <c r="K37" s="9">
        <f t="shared" si="7"/>
        <v>0.95896333013336721</v>
      </c>
      <c r="L37" s="8">
        <v>2.47000000000001</v>
      </c>
      <c r="M37" s="9">
        <f t="shared" si="3"/>
        <v>0.98822089456937556</v>
      </c>
      <c r="N37" s="8">
        <v>2.8999999999999901</v>
      </c>
      <c r="O37" s="9">
        <f t="shared" si="4"/>
        <v>1.0027296713189604</v>
      </c>
      <c r="P37" s="8">
        <v>3.3300000000000098</v>
      </c>
      <c r="Q37" s="9">
        <f t="shared" si="5"/>
        <v>1.0171938273673129</v>
      </c>
    </row>
    <row r="38" spans="1:17" x14ac:dyDescent="0.25">
      <c r="A38" s="8">
        <v>0.33</v>
      </c>
      <c r="B38" s="9">
        <f t="shared" si="6"/>
        <v>0.25860004051171881</v>
      </c>
      <c r="C38" s="8">
        <v>0.76</v>
      </c>
      <c r="D38" s="9">
        <f t="shared" si="0"/>
        <v>0.55274543420309385</v>
      </c>
      <c r="E38" s="8">
        <v>1.19</v>
      </c>
      <c r="F38" s="9">
        <f t="shared" si="1"/>
        <v>0.76595512051551773</v>
      </c>
      <c r="G38" s="8">
        <v>1.62</v>
      </c>
      <c r="H38" s="9">
        <f t="shared" si="2"/>
        <v>0.8948021214084324</v>
      </c>
      <c r="J38" s="8">
        <v>2.0499999999999998</v>
      </c>
      <c r="K38" s="9">
        <f t="shared" si="7"/>
        <v>0.95996375473005391</v>
      </c>
      <c r="L38" s="8">
        <v>2.4800000000000102</v>
      </c>
      <c r="M38" s="9">
        <f t="shared" si="3"/>
        <v>0.98865490502402131</v>
      </c>
      <c r="N38" s="8">
        <v>2.9099999999999899</v>
      </c>
      <c r="O38" s="9">
        <f t="shared" si="4"/>
        <v>1.0030229259089725</v>
      </c>
      <c r="P38" s="8">
        <v>3.3400000000000101</v>
      </c>
      <c r="Q38" s="9">
        <f t="shared" si="5"/>
        <v>1.0176093427303703</v>
      </c>
    </row>
    <row r="39" spans="1:17" x14ac:dyDescent="0.25">
      <c r="A39" s="8">
        <v>0.34</v>
      </c>
      <c r="B39" s="9">
        <f t="shared" si="6"/>
        <v>0.26614347478245692</v>
      </c>
      <c r="C39" s="8">
        <v>0.77</v>
      </c>
      <c r="D39" s="9">
        <f t="shared" si="0"/>
        <v>0.55870012843918515</v>
      </c>
      <c r="E39" s="8">
        <v>1.2</v>
      </c>
      <c r="F39" s="9">
        <f t="shared" si="1"/>
        <v>0.76986230847223192</v>
      </c>
      <c r="G39" s="8">
        <v>1.63</v>
      </c>
      <c r="H39" s="9">
        <f t="shared" si="2"/>
        <v>0.8969350535127637</v>
      </c>
      <c r="J39" s="8">
        <v>2.06</v>
      </c>
      <c r="K39" s="9">
        <f t="shared" si="7"/>
        <v>0.96094474595281976</v>
      </c>
      <c r="L39" s="8">
        <v>2.49000000000001</v>
      </c>
      <c r="M39" s="9">
        <f t="shared" si="3"/>
        <v>0.98908153552968259</v>
      </c>
      <c r="N39" s="8">
        <v>2.9199999999999902</v>
      </c>
      <c r="O39" s="9">
        <f t="shared" si="4"/>
        <v>1.0033165579484624</v>
      </c>
      <c r="P39" s="8">
        <v>3.3500000000000099</v>
      </c>
      <c r="Q39" s="9">
        <f t="shared" si="5"/>
        <v>1.0180298540105841</v>
      </c>
    </row>
    <row r="40" spans="1:17" x14ac:dyDescent="0.25">
      <c r="A40" s="8">
        <v>0.35</v>
      </c>
      <c r="B40" s="9">
        <f t="shared" si="6"/>
        <v>0.27366130514180259</v>
      </c>
      <c r="C40" s="8">
        <v>0.78</v>
      </c>
      <c r="D40" s="9">
        <f t="shared" si="0"/>
        <v>0.56460914826293507</v>
      </c>
      <c r="E40" s="8">
        <v>1.21</v>
      </c>
      <c r="F40" s="9">
        <f t="shared" si="1"/>
        <v>0.77372290329654725</v>
      </c>
      <c r="G40" s="8">
        <v>1.64</v>
      </c>
      <c r="H40" s="9">
        <f t="shared" si="2"/>
        <v>0.8990336528644749</v>
      </c>
      <c r="J40" s="8">
        <v>2.0699999999999998</v>
      </c>
      <c r="K40" s="9">
        <f t="shared" si="7"/>
        <v>0.96190663321327352</v>
      </c>
      <c r="L40" s="8">
        <v>2.5000000000000102</v>
      </c>
      <c r="M40" s="9">
        <f t="shared" si="3"/>
        <v>0.98950101236622257</v>
      </c>
      <c r="N40" s="8">
        <v>2.9299999999999899</v>
      </c>
      <c r="O40" s="9">
        <f t="shared" si="4"/>
        <v>1.003610705419629</v>
      </c>
      <c r="P40" s="8">
        <v>3.3600000000000101</v>
      </c>
      <c r="Q40" s="9">
        <f t="shared" si="5"/>
        <v>1.0184554404141029</v>
      </c>
    </row>
    <row r="41" spans="1:17" x14ac:dyDescent="0.25">
      <c r="A41" s="8">
        <v>0.36</v>
      </c>
      <c r="B41" s="9">
        <f t="shared" si="6"/>
        <v>0.28115286930694283</v>
      </c>
      <c r="C41" s="8">
        <v>0.79</v>
      </c>
      <c r="D41" s="9">
        <f t="shared" si="0"/>
        <v>0.57047225771177701</v>
      </c>
      <c r="E41" s="8">
        <v>1.22</v>
      </c>
      <c r="F41" s="9">
        <f t="shared" si="1"/>
        <v>0.77753708022952572</v>
      </c>
      <c r="G41" s="8">
        <v>1.65</v>
      </c>
      <c r="H41" s="9">
        <f t="shared" si="2"/>
        <v>0.9010982755800625</v>
      </c>
      <c r="J41" s="8">
        <v>2.08</v>
      </c>
      <c r="K41" s="9">
        <f t="shared" si="7"/>
        <v>0.96284974388585531</v>
      </c>
      <c r="L41" s="8">
        <v>2.51000000000001</v>
      </c>
      <c r="M41" s="9">
        <f t="shared" si="3"/>
        <v>0.98991355940936976</v>
      </c>
      <c r="N41" s="8">
        <v>2.9399999999999902</v>
      </c>
      <c r="O41" s="9">
        <f t="shared" si="4"/>
        <v>1.0039055046481846</v>
      </c>
      <c r="P41" s="8">
        <v>3.3700000000000099</v>
      </c>
      <c r="Q41" s="9">
        <f t="shared" si="5"/>
        <v>1.018886180008717</v>
      </c>
    </row>
    <row r="42" spans="1:17" x14ac:dyDescent="0.25">
      <c r="A42" s="8">
        <v>0.37</v>
      </c>
      <c r="B42" s="9">
        <f t="shared" si="6"/>
        <v>0.28861751255275409</v>
      </c>
      <c r="C42" s="8">
        <v>0.8</v>
      </c>
      <c r="D42" s="9">
        <f t="shared" si="0"/>
        <v>0.57628923180578606</v>
      </c>
      <c r="E42" s="8">
        <v>1.23</v>
      </c>
      <c r="F42" s="9">
        <f t="shared" si="1"/>
        <v>0.7813050216873012</v>
      </c>
      <c r="G42" s="8">
        <v>1.66</v>
      </c>
      <c r="H42" s="9">
        <f t="shared" si="2"/>
        <v>0.90312927903065898</v>
      </c>
      <c r="J42" s="8">
        <v>2.09</v>
      </c>
      <c r="K42" s="9">
        <f t="shared" si="7"/>
        <v>0.9637744032704082</v>
      </c>
      <c r="L42" s="8">
        <v>2.5200000000000098</v>
      </c>
      <c r="M42" s="9">
        <f t="shared" si="3"/>
        <v>0.99031939814335379</v>
      </c>
      <c r="N42" s="8">
        <v>2.94999999999999</v>
      </c>
      <c r="O42" s="9">
        <f t="shared" si="4"/>
        <v>1.0042010903202967</v>
      </c>
      <c r="P42" s="8">
        <v>3.3800000000000101</v>
      </c>
      <c r="Q42" s="9">
        <f t="shared" si="5"/>
        <v>1.0193221497309548</v>
      </c>
    </row>
    <row r="43" spans="1:17" x14ac:dyDescent="0.25">
      <c r="A43" s="8">
        <v>0.38</v>
      </c>
      <c r="B43" s="9">
        <f t="shared" si="6"/>
        <v>0.29605458788108069</v>
      </c>
      <c r="C43" s="8">
        <v>0.81</v>
      </c>
      <c r="D43" s="9">
        <f t="shared" si="0"/>
        <v>0.58205985652933179</v>
      </c>
      <c r="E43" s="8">
        <v>1.24</v>
      </c>
      <c r="F43" s="9">
        <f t="shared" si="1"/>
        <v>0.78502691712284822</v>
      </c>
      <c r="G43" s="8">
        <v>1.67</v>
      </c>
      <c r="H43" s="9">
        <f t="shared" si="2"/>
        <v>0.90512702172507031</v>
      </c>
      <c r="J43" s="8">
        <v>2.1</v>
      </c>
      <c r="K43" s="9">
        <f t="shared" si="7"/>
        <v>0.96468093455649062</v>
      </c>
      <c r="L43" s="8">
        <v>2.53000000000001</v>
      </c>
      <c r="M43" s="9">
        <f t="shared" si="3"/>
        <v>0.99071874767406909</v>
      </c>
      <c r="N43" s="8">
        <v>2.9599999999999902</v>
      </c>
      <c r="O43" s="9">
        <f t="shared" si="4"/>
        <v>1.004497595499334</v>
      </c>
      <c r="P43" s="8">
        <v>3.3900000000000099</v>
      </c>
      <c r="Q43" s="9">
        <f t="shared" si="5"/>
        <v>1.0197634253929984</v>
      </c>
    </row>
    <row r="44" spans="1:17" x14ac:dyDescent="0.25">
      <c r="A44" s="8">
        <v>0.39</v>
      </c>
      <c r="B44" s="9">
        <f t="shared" si="6"/>
        <v>0.30346345618632042</v>
      </c>
      <c r="C44" s="8">
        <v>0.82</v>
      </c>
      <c r="D44" s="9">
        <f t="shared" si="0"/>
        <v>0.5877839288085277</v>
      </c>
      <c r="E44" s="8">
        <v>1.25</v>
      </c>
      <c r="F44" s="9">
        <f t="shared" si="1"/>
        <v>0.7887029628867448</v>
      </c>
      <c r="G44" s="8">
        <v>1.68</v>
      </c>
      <c r="H44" s="9">
        <f t="shared" si="2"/>
        <v>0.90709186319448176</v>
      </c>
      <c r="J44" s="8">
        <v>2.11</v>
      </c>
      <c r="K44" s="9">
        <f t="shared" si="7"/>
        <v>0.9655696587894077</v>
      </c>
      <c r="L44" s="8">
        <v>2.5400000000000098</v>
      </c>
      <c r="M44" s="9">
        <f t="shared" si="3"/>
        <v>0.99111182474274373</v>
      </c>
      <c r="N44" s="8">
        <v>2.96999999999999</v>
      </c>
      <c r="O44" s="9">
        <f t="shared" si="4"/>
        <v>1.0047951516424067</v>
      </c>
      <c r="P44" s="8">
        <v>3.4000000000000101</v>
      </c>
      <c r="Q44" s="9">
        <f t="shared" si="5"/>
        <v>1.0202100816894268</v>
      </c>
    </row>
    <row r="45" spans="1:17" x14ac:dyDescent="0.25">
      <c r="A45" s="8">
        <v>0.4</v>
      </c>
      <c r="B45" s="9">
        <f t="shared" si="6"/>
        <v>0.31084348641724774</v>
      </c>
      <c r="C45" s="8">
        <v>0.83</v>
      </c>
      <c r="D45" s="9">
        <f t="shared" si="0"/>
        <v>0.59346125648452608</v>
      </c>
      <c r="E45" s="8">
        <v>1.26</v>
      </c>
      <c r="F45" s="9">
        <f t="shared" si="1"/>
        <v>0.79233336208700422</v>
      </c>
      <c r="G45" s="8">
        <v>1.69</v>
      </c>
      <c r="H45" s="9">
        <f t="shared" si="2"/>
        <v>0.9090241638788682</v>
      </c>
      <c r="J45" s="8">
        <v>2.12</v>
      </c>
      <c r="K45" s="9">
        <f t="shared" si="7"/>
        <v>0.96644089483793449</v>
      </c>
      <c r="L45" s="8">
        <v>2.55000000000001</v>
      </c>
      <c r="M45" s="9">
        <f t="shared" si="3"/>
        <v>0.99149884374008423</v>
      </c>
      <c r="N45" s="8">
        <v>2.9799999999999902</v>
      </c>
      <c r="O45" s="9">
        <f t="shared" si="4"/>
        <v>1.005093888616698</v>
      </c>
      <c r="P45" s="8">
        <v>3.4100000000000099</v>
      </c>
      <c r="Q45" s="9">
        <f t="shared" si="5"/>
        <v>1.0206621922037864</v>
      </c>
    </row>
    <row r="46" spans="1:17" x14ac:dyDescent="0.25">
      <c r="A46" s="8">
        <v>0.41</v>
      </c>
      <c r="B46" s="9">
        <f t="shared" si="6"/>
        <v>0.31819405573500942</v>
      </c>
      <c r="C46" s="8">
        <v>0.84</v>
      </c>
      <c r="D46" s="9">
        <f t="shared" si="0"/>
        <v>0.5990916582827015</v>
      </c>
      <c r="E46" s="8">
        <v>1.27</v>
      </c>
      <c r="F46" s="9">
        <f t="shared" si="1"/>
        <v>0.7959183244480631</v>
      </c>
      <c r="G46" s="8">
        <v>1.7</v>
      </c>
      <c r="H46" s="9">
        <f t="shared" si="2"/>
        <v>0.91092428501513445</v>
      </c>
      <c r="J46" s="8">
        <v>2.13</v>
      </c>
      <c r="K46" s="9">
        <f t="shared" si="7"/>
        <v>0.96729495936370891</v>
      </c>
      <c r="L46" s="8">
        <v>2.5600000000000098</v>
      </c>
      <c r="M46" s="9">
        <f t="shared" si="3"/>
        <v>0.99188001672087167</v>
      </c>
      <c r="N46" s="8">
        <v>2.98999999999999</v>
      </c>
      <c r="O46" s="9">
        <f t="shared" si="4"/>
        <v>1.0053939347155807</v>
      </c>
      <c r="P46" s="8">
        <v>3.4200000000000101</v>
      </c>
      <c r="Q46" s="9">
        <f t="shared" si="5"/>
        <v>1.0211198294149972</v>
      </c>
    </row>
    <row r="47" spans="1:17" x14ac:dyDescent="0.25">
      <c r="A47" s="8">
        <v>0.42</v>
      </c>
      <c r="B47" s="9">
        <f t="shared" si="6"/>
        <v>0.32551454966722726</v>
      </c>
      <c r="C47" s="8">
        <v>0.85</v>
      </c>
      <c r="D47" s="9">
        <f t="shared" si="0"/>
        <v>0.60467496377777818</v>
      </c>
      <c r="E47" s="8">
        <v>1.28</v>
      </c>
      <c r="F47" s="9">
        <f t="shared" si="1"/>
        <v>0.79945806616901038</v>
      </c>
      <c r="G47" s="8">
        <v>1.71</v>
      </c>
      <c r="H47" s="9">
        <f t="shared" si="2"/>
        <v>0.91279258852701251</v>
      </c>
      <c r="J47" s="8">
        <v>2.14</v>
      </c>
      <c r="K47" s="9">
        <f t="shared" si="7"/>
        <v>0.96813216679227676</v>
      </c>
      <c r="L47" s="8">
        <v>2.5700000000000101</v>
      </c>
      <c r="M47" s="9">
        <f t="shared" si="3"/>
        <v>0.99225555341898408</v>
      </c>
      <c r="N47" s="8">
        <v>2.9999999999999898</v>
      </c>
      <c r="O47" s="9">
        <f t="shared" si="4"/>
        <v>1.0056954166745147</v>
      </c>
      <c r="P47" s="8">
        <v>3.4300000000000099</v>
      </c>
      <c r="Q47" s="9">
        <f t="shared" si="5"/>
        <v>1.0215830647035979</v>
      </c>
    </row>
    <row r="48" spans="1:17" x14ac:dyDescent="0.25">
      <c r="A48" s="10" t="s">
        <v>26</v>
      </c>
      <c r="B48" s="11"/>
      <c r="C48" s="11"/>
      <c r="D48" s="11"/>
      <c r="E48" s="11"/>
      <c r="F48" s="11"/>
      <c r="G48" s="11"/>
      <c r="H48" s="11"/>
    </row>
    <row r="49" spans="1:8" x14ac:dyDescent="0.25">
      <c r="A49" s="10" t="s">
        <v>25</v>
      </c>
      <c r="B49" s="10"/>
      <c r="C49" s="10"/>
      <c r="D49" s="10"/>
      <c r="E49" s="10"/>
      <c r="F49" s="10"/>
      <c r="G49" s="10"/>
    </row>
    <row r="51" spans="1:8" x14ac:dyDescent="0.25">
      <c r="A51" s="8" t="s">
        <v>23</v>
      </c>
      <c r="B51" s="8" t="s">
        <v>24</v>
      </c>
      <c r="C51" s="8" t="s">
        <v>23</v>
      </c>
      <c r="D51" s="8" t="s">
        <v>24</v>
      </c>
      <c r="E51" s="8" t="s">
        <v>23</v>
      </c>
      <c r="F51" s="8" t="s">
        <v>24</v>
      </c>
      <c r="G51" s="8" t="s">
        <v>23</v>
      </c>
      <c r="H51" s="8" t="s">
        <v>24</v>
      </c>
    </row>
    <row r="52" spans="1:8" x14ac:dyDescent="0.25">
      <c r="A52" s="8">
        <v>3.44</v>
      </c>
      <c r="B52" s="9">
        <f>FR(A52)</f>
        <v>1.0220519683578371</v>
      </c>
      <c r="C52" s="8">
        <v>0.43</v>
      </c>
      <c r="D52" s="9">
        <f>FR(C52)</f>
        <v>0.33280436225814714</v>
      </c>
      <c r="E52" s="8">
        <v>0.86</v>
      </c>
      <c r="F52" s="9">
        <f>FR(E52)</f>
        <v>0.61021101335494821</v>
      </c>
      <c r="G52" s="8">
        <v>1.29</v>
      </c>
      <c r="H52" s="9">
        <f>FR(G52)</f>
        <v>0.8029528097811367</v>
      </c>
    </row>
    <row r="53" spans="1:8" x14ac:dyDescent="0.25">
      <c r="A53" s="8">
        <v>3.45</v>
      </c>
      <c r="B53" s="9">
        <f>FR(A53)</f>
        <v>1.0225266095796128</v>
      </c>
      <c r="C53" s="8">
        <v>0.44</v>
      </c>
      <c r="D53" s="9">
        <f t="shared" ref="D53:D68" si="8">FR(C53)</f>
        <v>0.34006289621477559</v>
      </c>
      <c r="E53" s="8">
        <v>0.87</v>
      </c>
      <c r="F53" s="9">
        <f t="shared" ref="F53:F68" si="9">FR(E53)</f>
        <v>0.61569965816703887</v>
      </c>
      <c r="G53" s="8">
        <v>1.3</v>
      </c>
      <c r="H53" s="9">
        <f t="shared" ref="H53:H68" si="10">FR(G53)</f>
        <v>0.80640278400488885</v>
      </c>
    </row>
    <row r="54" spans="1:8" x14ac:dyDescent="0.25">
      <c r="A54" s="8">
        <v>3.46</v>
      </c>
      <c r="B54" s="9">
        <f t="shared" ref="B54:B68" si="11">FR(A54)</f>
        <v>1.0230070564902651</v>
      </c>
      <c r="C54" s="8">
        <v>0.45</v>
      </c>
      <c r="D54" s="9">
        <f t="shared" si="8"/>
        <v>0.34728956304894704</v>
      </c>
      <c r="E54" s="8">
        <v>0.88</v>
      </c>
      <c r="F54" s="9">
        <f t="shared" si="9"/>
        <v>0.62114076008778196</v>
      </c>
      <c r="G54" s="8">
        <v>1.31</v>
      </c>
      <c r="H54" s="9">
        <f t="shared" si="10"/>
        <v>0.80980822360630911</v>
      </c>
    </row>
    <row r="55" spans="1:8" x14ac:dyDescent="0.25">
      <c r="A55" s="8">
        <v>3.47</v>
      </c>
      <c r="B55" s="9">
        <f t="shared" si="11"/>
        <v>1.0234933761362315</v>
      </c>
      <c r="C55" s="8">
        <v>0.46</v>
      </c>
      <c r="D55" s="9">
        <f t="shared" si="8"/>
        <v>0.35448378321526935</v>
      </c>
      <c r="E55" s="8">
        <v>0.89</v>
      </c>
      <c r="F55" s="9">
        <f t="shared" si="9"/>
        <v>0.62653419166124469</v>
      </c>
      <c r="G55" s="8">
        <v>1.32</v>
      </c>
      <c r="H55" s="9">
        <f t="shared" si="10"/>
        <v>0.81316936925304162</v>
      </c>
    </row>
    <row r="56" spans="1:8" x14ac:dyDescent="0.25">
      <c r="A56" s="8">
        <v>3.48</v>
      </c>
      <c r="B56" s="9">
        <f t="shared" si="11"/>
        <v>1.0239856344945644</v>
      </c>
      <c r="C56" s="8">
        <v>0.47</v>
      </c>
      <c r="D56" s="9">
        <f t="shared" si="8"/>
        <v>0.36164498624489594</v>
      </c>
      <c r="E56" s="8">
        <v>0.9</v>
      </c>
      <c r="F56" s="9">
        <f t="shared" si="9"/>
        <v>0.63187983604748177</v>
      </c>
      <c r="G56" s="8">
        <v>1.33</v>
      </c>
      <c r="H56" s="9">
        <f t="shared" si="10"/>
        <v>0.81648646736998465</v>
      </c>
    </row>
    <row r="57" spans="1:8" x14ac:dyDescent="0.25">
      <c r="A57" s="8">
        <v>3.49</v>
      </c>
      <c r="B57" s="9">
        <f t="shared" si="11"/>
        <v>1.0244838964783198</v>
      </c>
      <c r="C57" s="8">
        <v>0.48</v>
      </c>
      <c r="D57" s="9">
        <f t="shared" si="8"/>
        <v>0.36877261087507701</v>
      </c>
      <c r="E57" s="8">
        <v>0.91</v>
      </c>
      <c r="F57" s="9">
        <f t="shared" si="9"/>
        <v>0.63717758696446858</v>
      </c>
      <c r="G57" s="8">
        <v>1.34</v>
      </c>
      <c r="H57" s="9">
        <f t="shared" si="10"/>
        <v>0.81975976999466704</v>
      </c>
    </row>
    <row r="58" spans="1:8" x14ac:dyDescent="0.25">
      <c r="A58" s="8">
        <v>3.5</v>
      </c>
      <c r="B58" s="9">
        <f t="shared" si="11"/>
        <v>1.0249882259418219</v>
      </c>
      <c r="C58" s="8">
        <v>0.49</v>
      </c>
      <c r="D58" s="9">
        <f t="shared" si="8"/>
        <v>0.37586610517444408</v>
      </c>
      <c r="E58" s="8">
        <v>0.92</v>
      </c>
      <c r="F58" s="9">
        <f t="shared" si="9"/>
        <v>0.64242734862638085</v>
      </c>
      <c r="G58" s="8">
        <v>1.35</v>
      </c>
      <c r="H58" s="9">
        <f t="shared" si="10"/>
        <v>0.82298953463242908</v>
      </c>
    </row>
    <row r="59" spans="1:8" x14ac:dyDescent="0.25">
      <c r="A59" s="8">
        <v>3.51</v>
      </c>
      <c r="B59" s="9">
        <f t="shared" si="11"/>
        <v>1.0254986856858042</v>
      </c>
      <c r="C59" s="8">
        <v>0.5</v>
      </c>
      <c r="D59" s="9">
        <f t="shared" si="8"/>
        <v>0.38292492666398592</v>
      </c>
      <c r="E59" s="8">
        <v>0.93</v>
      </c>
      <c r="F59" s="9">
        <f t="shared" si="9"/>
        <v>0.64762903567828478</v>
      </c>
      <c r="G59" s="8">
        <v>1.36</v>
      </c>
      <c r="H59" s="9">
        <f t="shared" si="10"/>
        <v>0.8261760241114845</v>
      </c>
    </row>
    <row r="60" spans="1:8" x14ac:dyDescent="0.25">
      <c r="A60" s="8">
        <v>3.52</v>
      </c>
      <c r="B60" s="9">
        <f t="shared" si="11"/>
        <v>1.0260153374624386</v>
      </c>
      <c r="C60" s="8">
        <v>0.51</v>
      </c>
      <c r="D60" s="9">
        <f t="shared" si="8"/>
        <v>0.38994854243367622</v>
      </c>
      <c r="E60" s="8">
        <v>0.94</v>
      </c>
      <c r="F60" s="9">
        <f t="shared" si="9"/>
        <v>0.65278257312730359</v>
      </c>
      <c r="G60" s="8">
        <v>1.37</v>
      </c>
      <c r="H60" s="9">
        <f t="shared" si="10"/>
        <v>0.82931950643793728</v>
      </c>
    </row>
    <row r="61" spans="1:8" x14ac:dyDescent="0.25">
      <c r="A61" s="8">
        <v>3.53</v>
      </c>
      <c r="B61" s="9">
        <f t="shared" si="11"/>
        <v>1.0265382419802562</v>
      </c>
      <c r="C61" s="8">
        <v>0.52</v>
      </c>
      <c r="D61" s="9">
        <f t="shared" si="8"/>
        <v>0.39693642925471467</v>
      </c>
      <c r="E61" s="8">
        <v>0.95</v>
      </c>
      <c r="F61" s="9">
        <f t="shared" si="9"/>
        <v>0.65788789627032918</v>
      </c>
      <c r="G61" s="8">
        <v>1.38</v>
      </c>
      <c r="H61" s="9">
        <f t="shared" si="10"/>
        <v>0.83242025465083358</v>
      </c>
    </row>
    <row r="62" spans="1:8" x14ac:dyDescent="0.25">
      <c r="A62" s="8">
        <v>3.54</v>
      </c>
      <c r="B62" s="9">
        <f t="shared" si="11"/>
        <v>1.0270674589089595</v>
      </c>
      <c r="C62" s="8">
        <v>0.53</v>
      </c>
      <c r="D62" s="9">
        <f t="shared" si="8"/>
        <v>0.40388807368734997</v>
      </c>
      <c r="E62" s="8">
        <v>0.96</v>
      </c>
      <c r="F62" s="9">
        <f t="shared" si="9"/>
        <v>0.66294495061834824</v>
      </c>
      <c r="G62" s="8">
        <v>1.39</v>
      </c>
      <c r="H62" s="9">
        <f t="shared" si="10"/>
        <v>0.83547854667731836</v>
      </c>
    </row>
    <row r="63" spans="1:8" x14ac:dyDescent="0.25">
      <c r="A63" s="8">
        <v>3.55</v>
      </c>
      <c r="B63" s="9">
        <f t="shared" si="11"/>
        <v>1.0276030468841377</v>
      </c>
      <c r="C63" s="8">
        <v>0.54</v>
      </c>
      <c r="D63" s="9">
        <f t="shared" si="8"/>
        <v>0.41080297218425071</v>
      </c>
      <c r="E63" s="8">
        <v>0.97</v>
      </c>
      <c r="F63" s="9">
        <f t="shared" si="9"/>
        <v>0.66795369181745401</v>
      </c>
      <c r="G63" s="8">
        <v>1.4</v>
      </c>
      <c r="H63" s="9">
        <f t="shared" si="10"/>
        <v>0.83849466518797211</v>
      </c>
    </row>
    <row r="64" spans="1:8" x14ac:dyDescent="0.25">
      <c r="A64" s="8">
        <v>3.56</v>
      </c>
      <c r="B64" s="9">
        <f t="shared" si="11"/>
        <v>1.0281450635118889</v>
      </c>
      <c r="C64" s="8">
        <v>0.55000000000000004</v>
      </c>
      <c r="D64" s="9">
        <f t="shared" si="8"/>
        <v>0.41768063118939774</v>
      </c>
      <c r="E64" s="8">
        <v>0.98</v>
      </c>
      <c r="F64" s="9">
        <f t="shared" si="9"/>
        <v>0.67291408556661547</v>
      </c>
      <c r="G64" s="8">
        <v>1.41</v>
      </c>
      <c r="H64" s="9">
        <f t="shared" si="10"/>
        <v>0.84146889745240006</v>
      </c>
    </row>
    <row r="65" spans="1:8" x14ac:dyDescent="0.25">
      <c r="A65" s="8">
        <v>3.57</v>
      </c>
      <c r="B65" s="9">
        <f t="shared" si="11"/>
        <v>1.0286935653733482</v>
      </c>
      <c r="C65" s="8">
        <v>0.56000000000000005</v>
      </c>
      <c r="D65" s="9">
        <f t="shared" si="8"/>
        <v>0.42452056723247189</v>
      </c>
      <c r="E65" s="8">
        <v>0.99</v>
      </c>
      <c r="F65" s="9">
        <f t="shared" si="9"/>
        <v>0.6778261075322779</v>
      </c>
      <c r="G65" s="8">
        <v>1.42</v>
      </c>
      <c r="H65" s="9">
        <f t="shared" si="10"/>
        <v>0.84440153519514305</v>
      </c>
    </row>
    <row r="66" spans="1:8" x14ac:dyDescent="0.25">
      <c r="A66" s="8">
        <v>3.58</v>
      </c>
      <c r="B66" s="9">
        <f t="shared" si="11"/>
        <v>1.0292486080291376</v>
      </c>
      <c r="C66" s="8">
        <v>0.56999999999999995</v>
      </c>
      <c r="D66" s="9">
        <f t="shared" si="8"/>
        <v>0.43132230701871377</v>
      </c>
      <c r="E66" s="8">
        <v>1</v>
      </c>
      <c r="F66" s="9">
        <f t="shared" si="9"/>
        <v>0.68268974325986997</v>
      </c>
      <c r="G66" s="8">
        <v>1.43</v>
      </c>
      <c r="H66" s="9">
        <f t="shared" si="10"/>
        <v>0.84729287445198298</v>
      </c>
    </row>
    <row r="67" spans="1:8" x14ac:dyDescent="0.25">
      <c r="A67" s="8">
        <v>3.59</v>
      </c>
      <c r="B67" s="9">
        <f t="shared" si="11"/>
        <v>1.0298102460237308</v>
      </c>
      <c r="C67" s="8">
        <v>0.57999999999999996</v>
      </c>
      <c r="D67" s="9">
        <f t="shared" si="8"/>
        <v>0.43808538751423709</v>
      </c>
      <c r="E67" s="8">
        <v>1.01</v>
      </c>
      <c r="F67" s="9">
        <f t="shared" si="9"/>
        <v>0.68750498808229343</v>
      </c>
      <c r="G67" s="8">
        <v>1.44</v>
      </c>
      <c r="H67" s="9">
        <f t="shared" si="10"/>
        <v>0.85014321542670557</v>
      </c>
    </row>
    <row r="68" spans="1:8" x14ac:dyDescent="0.25">
      <c r="A68" s="8">
        <v>3.6</v>
      </c>
      <c r="B68" s="9">
        <f t="shared" si="11"/>
        <v>1.0303785328897479</v>
      </c>
      <c r="C68" s="8">
        <v>0.59</v>
      </c>
      <c r="D68" s="9">
        <f t="shared" si="8"/>
        <v>0.44480935602677574</v>
      </c>
      <c r="E68" s="8">
        <v>1.02</v>
      </c>
      <c r="F68" s="9">
        <f t="shared" si="9"/>
        <v>0.69227184702546984</v>
      </c>
      <c r="G68" s="8">
        <v>1.45</v>
      </c>
      <c r="H68" s="9">
        <f t="shared" si="10"/>
        <v>0.85295286234839551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Hoja2 (2)</vt:lpstr>
      <vt:lpstr>Hoja3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García</dc:creator>
  <cp:lastModifiedBy>Carlos Eduardo García</cp:lastModifiedBy>
  <cp:lastPrinted>2015-02-20T12:01:28Z</cp:lastPrinted>
  <dcterms:created xsi:type="dcterms:W3CDTF">2015-02-04T10:48:09Z</dcterms:created>
  <dcterms:modified xsi:type="dcterms:W3CDTF">2015-02-20T12:01:58Z</dcterms:modified>
</cp:coreProperties>
</file>