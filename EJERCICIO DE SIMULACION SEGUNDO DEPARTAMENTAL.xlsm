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INTRODUCCIÓN" sheetId="1" r:id="rId1"/>
    <sheet name="CORRIDA DE S1" sheetId="7" r:id="rId2"/>
    <sheet name="CORRIDA DE S2" sheetId="8" r:id="rId3"/>
    <sheet name="CORRIDA DE S3" sheetId="9" r:id="rId4"/>
    <sheet name="CORRIDA DE S4" sheetId="10" r:id="rId5"/>
    <sheet name="CORRIDA DE S5" sheetId="11" r:id="rId6"/>
  </sheets>
  <functionGroups builtInGroupCount="17"/>
  <calcPr calcId="144525"/>
</workbook>
</file>

<file path=xl/calcChain.xml><?xml version="1.0" encoding="utf-8"?>
<calcChain xmlns="http://schemas.openxmlformats.org/spreadsheetml/2006/main">
  <c r="B21" i="11" l="1"/>
  <c r="D21" i="11"/>
  <c r="B22" i="11"/>
  <c r="D22" i="11"/>
  <c r="B23" i="11"/>
  <c r="D23" i="11"/>
  <c r="B24" i="11"/>
  <c r="D24" i="11"/>
  <c r="D20" i="11"/>
  <c r="B20" i="11"/>
  <c r="D19" i="11"/>
  <c r="B19" i="11"/>
  <c r="D18" i="11"/>
  <c r="B18" i="11"/>
  <c r="D17" i="11"/>
  <c r="B17" i="11"/>
  <c r="D16" i="11"/>
  <c r="B16" i="11"/>
  <c r="D15" i="11"/>
  <c r="B15" i="11"/>
  <c r="D14" i="11"/>
  <c r="B14" i="11"/>
  <c r="D13" i="11"/>
  <c r="B13" i="11"/>
  <c r="D12" i="11"/>
  <c r="B12" i="11"/>
  <c r="D11" i="11"/>
  <c r="B11" i="11"/>
  <c r="D10" i="11"/>
  <c r="B10" i="11"/>
  <c r="D9" i="11"/>
  <c r="B9" i="11"/>
  <c r="D8" i="11"/>
  <c r="B8" i="11"/>
  <c r="D7" i="11"/>
  <c r="B7" i="11"/>
  <c r="D6" i="11"/>
  <c r="B6" i="11"/>
  <c r="D5" i="11"/>
  <c r="B5" i="11"/>
  <c r="D4" i="11"/>
  <c r="B4" i="11"/>
  <c r="L46" i="10"/>
  <c r="J46" i="10"/>
  <c r="D46" i="10"/>
  <c r="B46" i="10"/>
  <c r="L45" i="10"/>
  <c r="J45" i="10"/>
  <c r="D45" i="10"/>
  <c r="B45" i="10"/>
  <c r="L44" i="10"/>
  <c r="J44" i="10"/>
  <c r="D44" i="10"/>
  <c r="B44" i="10"/>
  <c r="L43" i="10"/>
  <c r="J43" i="10"/>
  <c r="D43" i="10"/>
  <c r="B43" i="10"/>
  <c r="L42" i="10"/>
  <c r="J42" i="10"/>
  <c r="D42" i="10"/>
  <c r="B42" i="10"/>
  <c r="L41" i="10"/>
  <c r="J41" i="10"/>
  <c r="D41" i="10"/>
  <c r="B41" i="10"/>
  <c r="L40" i="10"/>
  <c r="J40" i="10"/>
  <c r="D40" i="10"/>
  <c r="B40" i="10"/>
  <c r="L39" i="10"/>
  <c r="J39" i="10"/>
  <c r="D39" i="10"/>
  <c r="B39" i="10"/>
  <c r="L38" i="10"/>
  <c r="J38" i="10"/>
  <c r="D38" i="10"/>
  <c r="B38" i="10"/>
  <c r="L37" i="10"/>
  <c r="J37" i="10"/>
  <c r="D37" i="10"/>
  <c r="B37" i="10"/>
  <c r="L36" i="10"/>
  <c r="J36" i="10"/>
  <c r="D36" i="10"/>
  <c r="B36" i="10"/>
  <c r="L35" i="10"/>
  <c r="J35" i="10"/>
  <c r="D35" i="10"/>
  <c r="B35" i="10"/>
  <c r="L34" i="10"/>
  <c r="J34" i="10"/>
  <c r="D34" i="10"/>
  <c r="B34" i="10"/>
  <c r="L33" i="10"/>
  <c r="J33" i="10"/>
  <c r="D33" i="10"/>
  <c r="B33" i="10"/>
  <c r="L32" i="10"/>
  <c r="J32" i="10"/>
  <c r="D32" i="10"/>
  <c r="B32" i="10"/>
  <c r="L31" i="10"/>
  <c r="J31" i="10"/>
  <c r="D31" i="10"/>
  <c r="B31" i="10"/>
  <c r="L30" i="10"/>
  <c r="J30" i="10"/>
  <c r="D30" i="10"/>
  <c r="B30" i="10"/>
  <c r="L29" i="10"/>
  <c r="J29" i="10"/>
  <c r="D29" i="10"/>
  <c r="B29" i="10"/>
  <c r="L28" i="10"/>
  <c r="J28" i="10"/>
  <c r="D28" i="10"/>
  <c r="B28" i="10"/>
  <c r="L27" i="10"/>
  <c r="J27" i="10"/>
  <c r="D27" i="10"/>
  <c r="B27" i="10"/>
  <c r="L26" i="10"/>
  <c r="J26" i="10"/>
  <c r="D26" i="10"/>
  <c r="B26" i="10"/>
  <c r="L25" i="10"/>
  <c r="J25" i="10"/>
  <c r="D25" i="10"/>
  <c r="B25" i="10"/>
  <c r="L24" i="10"/>
  <c r="J24" i="10"/>
  <c r="D24" i="10"/>
  <c r="B24" i="10"/>
  <c r="L23" i="10"/>
  <c r="J23" i="10"/>
  <c r="D23" i="10"/>
  <c r="B23" i="10"/>
  <c r="L22" i="10"/>
  <c r="J22" i="10"/>
  <c r="D22" i="10"/>
  <c r="B22" i="10"/>
  <c r="L21" i="10"/>
  <c r="J21" i="10"/>
  <c r="D21" i="10"/>
  <c r="B21" i="10"/>
  <c r="L20" i="10"/>
  <c r="J20" i="10"/>
  <c r="D20" i="10"/>
  <c r="B20" i="10"/>
  <c r="L19" i="10"/>
  <c r="J19" i="10"/>
  <c r="D19" i="10"/>
  <c r="B19" i="10"/>
  <c r="L18" i="10"/>
  <c r="J18" i="10"/>
  <c r="D18" i="10"/>
  <c r="B18" i="10"/>
  <c r="L17" i="10"/>
  <c r="J17" i="10"/>
  <c r="D17" i="10"/>
  <c r="B17" i="10"/>
  <c r="L16" i="10"/>
  <c r="J16" i="10"/>
  <c r="D16" i="10"/>
  <c r="B16" i="10"/>
  <c r="L15" i="10"/>
  <c r="J15" i="10"/>
  <c r="D15" i="10"/>
  <c r="B15" i="10"/>
  <c r="L14" i="10"/>
  <c r="J14" i="10"/>
  <c r="D14" i="10"/>
  <c r="B14" i="10"/>
  <c r="L13" i="10"/>
  <c r="J13" i="10"/>
  <c r="D13" i="10"/>
  <c r="B13" i="10"/>
  <c r="L12" i="10"/>
  <c r="J12" i="10"/>
  <c r="D12" i="10"/>
  <c r="B12" i="10"/>
  <c r="L11" i="10"/>
  <c r="J11" i="10"/>
  <c r="D11" i="10"/>
  <c r="B11" i="10"/>
  <c r="L10" i="10"/>
  <c r="J10" i="10"/>
  <c r="D10" i="10"/>
  <c r="B10" i="10"/>
  <c r="L9" i="10"/>
  <c r="J9" i="10"/>
  <c r="D9" i="10"/>
  <c r="B9" i="10"/>
  <c r="L8" i="10"/>
  <c r="J8" i="10"/>
  <c r="D8" i="10"/>
  <c r="B8" i="10"/>
  <c r="L7" i="10"/>
  <c r="J7" i="10"/>
  <c r="D7" i="10"/>
  <c r="B7" i="10"/>
  <c r="L6" i="10"/>
  <c r="J6" i="10"/>
  <c r="D6" i="10"/>
  <c r="B6" i="10"/>
  <c r="L5" i="10"/>
  <c r="J5" i="10"/>
  <c r="D5" i="10"/>
  <c r="B5" i="10"/>
  <c r="L4" i="10"/>
  <c r="J4" i="10"/>
  <c r="D4" i="10"/>
  <c r="B4" i="10"/>
  <c r="L46" i="9"/>
  <c r="J46" i="9"/>
  <c r="D46" i="9"/>
  <c r="B46" i="9"/>
  <c r="L45" i="9"/>
  <c r="J45" i="9"/>
  <c r="D45" i="9"/>
  <c r="B45" i="9"/>
  <c r="L44" i="9"/>
  <c r="J44" i="9"/>
  <c r="D44" i="9"/>
  <c r="B44" i="9"/>
  <c r="L43" i="9"/>
  <c r="J43" i="9"/>
  <c r="D43" i="9"/>
  <c r="B43" i="9"/>
  <c r="L42" i="9"/>
  <c r="J42" i="9"/>
  <c r="D42" i="9"/>
  <c r="B42" i="9"/>
  <c r="L41" i="9"/>
  <c r="J41" i="9"/>
  <c r="D41" i="9"/>
  <c r="B41" i="9"/>
  <c r="L40" i="9"/>
  <c r="J40" i="9"/>
  <c r="D40" i="9"/>
  <c r="B40" i="9"/>
  <c r="L39" i="9"/>
  <c r="J39" i="9"/>
  <c r="D39" i="9"/>
  <c r="B39" i="9"/>
  <c r="L38" i="9"/>
  <c r="J38" i="9"/>
  <c r="D38" i="9"/>
  <c r="B38" i="9"/>
  <c r="L37" i="9"/>
  <c r="J37" i="9"/>
  <c r="D37" i="9"/>
  <c r="B37" i="9"/>
  <c r="L36" i="9"/>
  <c r="J36" i="9"/>
  <c r="D36" i="9"/>
  <c r="B36" i="9"/>
  <c r="L35" i="9"/>
  <c r="J35" i="9"/>
  <c r="D35" i="9"/>
  <c r="B35" i="9"/>
  <c r="L34" i="9"/>
  <c r="J34" i="9"/>
  <c r="D34" i="9"/>
  <c r="B34" i="9"/>
  <c r="L33" i="9"/>
  <c r="J33" i="9"/>
  <c r="D33" i="9"/>
  <c r="B33" i="9"/>
  <c r="L32" i="9"/>
  <c r="J32" i="9"/>
  <c r="D32" i="9"/>
  <c r="B32" i="9"/>
  <c r="L31" i="9"/>
  <c r="J31" i="9"/>
  <c r="D31" i="9"/>
  <c r="B31" i="9"/>
  <c r="L30" i="9"/>
  <c r="J30" i="9"/>
  <c r="D30" i="9"/>
  <c r="B30" i="9"/>
  <c r="L29" i="9"/>
  <c r="J29" i="9"/>
  <c r="D29" i="9"/>
  <c r="B29" i="9"/>
  <c r="L28" i="9"/>
  <c r="J28" i="9"/>
  <c r="D28" i="9"/>
  <c r="B28" i="9"/>
  <c r="L27" i="9"/>
  <c r="J27" i="9"/>
  <c r="D27" i="9"/>
  <c r="B27" i="9"/>
  <c r="L26" i="9"/>
  <c r="J26" i="9"/>
  <c r="D26" i="9"/>
  <c r="B26" i="9"/>
  <c r="L25" i="9"/>
  <c r="J25" i="9"/>
  <c r="D25" i="9"/>
  <c r="B25" i="9"/>
  <c r="L24" i="9"/>
  <c r="J24" i="9"/>
  <c r="D24" i="9"/>
  <c r="B24" i="9"/>
  <c r="L23" i="9"/>
  <c r="J23" i="9"/>
  <c r="D23" i="9"/>
  <c r="B23" i="9"/>
  <c r="L22" i="9"/>
  <c r="J22" i="9"/>
  <c r="D22" i="9"/>
  <c r="B22" i="9"/>
  <c r="L21" i="9"/>
  <c r="J21" i="9"/>
  <c r="D21" i="9"/>
  <c r="B21" i="9"/>
  <c r="L20" i="9"/>
  <c r="J20" i="9"/>
  <c r="D20" i="9"/>
  <c r="B20" i="9"/>
  <c r="L19" i="9"/>
  <c r="J19" i="9"/>
  <c r="D19" i="9"/>
  <c r="B19" i="9"/>
  <c r="L18" i="9"/>
  <c r="J18" i="9"/>
  <c r="D18" i="9"/>
  <c r="B18" i="9"/>
  <c r="L17" i="9"/>
  <c r="J17" i="9"/>
  <c r="D17" i="9"/>
  <c r="B17" i="9"/>
  <c r="L16" i="9"/>
  <c r="J16" i="9"/>
  <c r="D16" i="9"/>
  <c r="B16" i="9"/>
  <c r="L15" i="9"/>
  <c r="J15" i="9"/>
  <c r="D15" i="9"/>
  <c r="B15" i="9"/>
  <c r="L14" i="9"/>
  <c r="J14" i="9"/>
  <c r="D14" i="9"/>
  <c r="B14" i="9"/>
  <c r="L13" i="9"/>
  <c r="J13" i="9"/>
  <c r="D13" i="9"/>
  <c r="B13" i="9"/>
  <c r="L12" i="9"/>
  <c r="J12" i="9"/>
  <c r="D12" i="9"/>
  <c r="B12" i="9"/>
  <c r="L11" i="9"/>
  <c r="J11" i="9"/>
  <c r="D11" i="9"/>
  <c r="B11" i="9"/>
  <c r="L10" i="9"/>
  <c r="J10" i="9"/>
  <c r="D10" i="9"/>
  <c r="B10" i="9"/>
  <c r="L9" i="9"/>
  <c r="J9" i="9"/>
  <c r="D9" i="9"/>
  <c r="B9" i="9"/>
  <c r="L8" i="9"/>
  <c r="J8" i="9"/>
  <c r="D8" i="9"/>
  <c r="B8" i="9"/>
  <c r="L7" i="9"/>
  <c r="J7" i="9"/>
  <c r="D7" i="9"/>
  <c r="B7" i="9"/>
  <c r="L6" i="9"/>
  <c r="J6" i="9"/>
  <c r="D6" i="9"/>
  <c r="B6" i="9"/>
  <c r="L5" i="9"/>
  <c r="J5" i="9"/>
  <c r="D5" i="9"/>
  <c r="B5" i="9"/>
  <c r="L4" i="9"/>
  <c r="J4" i="9"/>
  <c r="D4" i="9"/>
  <c r="B4" i="9"/>
  <c r="L46" i="8"/>
  <c r="J46" i="8"/>
  <c r="D46" i="8"/>
  <c r="B46" i="8"/>
  <c r="L45" i="8"/>
  <c r="J45" i="8"/>
  <c r="D45" i="8"/>
  <c r="B45" i="8"/>
  <c r="L44" i="8"/>
  <c r="J44" i="8"/>
  <c r="D44" i="8"/>
  <c r="B44" i="8"/>
  <c r="L43" i="8"/>
  <c r="J43" i="8"/>
  <c r="D43" i="8"/>
  <c r="B43" i="8"/>
  <c r="L42" i="8"/>
  <c r="J42" i="8"/>
  <c r="D42" i="8"/>
  <c r="B42" i="8"/>
  <c r="L41" i="8"/>
  <c r="J41" i="8"/>
  <c r="D41" i="8"/>
  <c r="B41" i="8"/>
  <c r="L40" i="8"/>
  <c r="J40" i="8"/>
  <c r="D40" i="8"/>
  <c r="B40" i="8"/>
  <c r="L39" i="8"/>
  <c r="J39" i="8"/>
  <c r="D39" i="8"/>
  <c r="B39" i="8"/>
  <c r="L38" i="8"/>
  <c r="J38" i="8"/>
  <c r="D38" i="8"/>
  <c r="B38" i="8"/>
  <c r="L37" i="8"/>
  <c r="J37" i="8"/>
  <c r="D37" i="8"/>
  <c r="B37" i="8"/>
  <c r="L36" i="8"/>
  <c r="J36" i="8"/>
  <c r="D36" i="8"/>
  <c r="B36" i="8"/>
  <c r="L35" i="8"/>
  <c r="J35" i="8"/>
  <c r="D35" i="8"/>
  <c r="B35" i="8"/>
  <c r="L34" i="8"/>
  <c r="J34" i="8"/>
  <c r="D34" i="8"/>
  <c r="B34" i="8"/>
  <c r="L33" i="8"/>
  <c r="J33" i="8"/>
  <c r="D33" i="8"/>
  <c r="B33" i="8"/>
  <c r="L32" i="8"/>
  <c r="J32" i="8"/>
  <c r="D32" i="8"/>
  <c r="B32" i="8"/>
  <c r="L31" i="8"/>
  <c r="J31" i="8"/>
  <c r="D31" i="8"/>
  <c r="B31" i="8"/>
  <c r="L30" i="8"/>
  <c r="J30" i="8"/>
  <c r="D30" i="8"/>
  <c r="B30" i="8"/>
  <c r="L29" i="8"/>
  <c r="J29" i="8"/>
  <c r="D29" i="8"/>
  <c r="B29" i="8"/>
  <c r="L28" i="8"/>
  <c r="J28" i="8"/>
  <c r="D28" i="8"/>
  <c r="B28" i="8"/>
  <c r="L27" i="8"/>
  <c r="J27" i="8"/>
  <c r="D27" i="8"/>
  <c r="B27" i="8"/>
  <c r="L26" i="8"/>
  <c r="J26" i="8"/>
  <c r="D26" i="8"/>
  <c r="B26" i="8"/>
  <c r="L25" i="8"/>
  <c r="J25" i="8"/>
  <c r="D25" i="8"/>
  <c r="B25" i="8"/>
  <c r="L24" i="8"/>
  <c r="J24" i="8"/>
  <c r="D24" i="8"/>
  <c r="B24" i="8"/>
  <c r="L23" i="8"/>
  <c r="J23" i="8"/>
  <c r="D23" i="8"/>
  <c r="B23" i="8"/>
  <c r="L22" i="8"/>
  <c r="J22" i="8"/>
  <c r="D22" i="8"/>
  <c r="B22" i="8"/>
  <c r="L21" i="8"/>
  <c r="J21" i="8"/>
  <c r="D21" i="8"/>
  <c r="B21" i="8"/>
  <c r="L20" i="8"/>
  <c r="J20" i="8"/>
  <c r="D20" i="8"/>
  <c r="B20" i="8"/>
  <c r="L19" i="8"/>
  <c r="J19" i="8"/>
  <c r="D19" i="8"/>
  <c r="B19" i="8"/>
  <c r="L18" i="8"/>
  <c r="J18" i="8"/>
  <c r="D18" i="8"/>
  <c r="B18" i="8"/>
  <c r="L17" i="8"/>
  <c r="J17" i="8"/>
  <c r="D17" i="8"/>
  <c r="B17" i="8"/>
  <c r="L16" i="8"/>
  <c r="J16" i="8"/>
  <c r="D16" i="8"/>
  <c r="B16" i="8"/>
  <c r="L15" i="8"/>
  <c r="J15" i="8"/>
  <c r="D15" i="8"/>
  <c r="B15" i="8"/>
  <c r="L14" i="8"/>
  <c r="J14" i="8"/>
  <c r="D14" i="8"/>
  <c r="B14" i="8"/>
  <c r="L13" i="8"/>
  <c r="J13" i="8"/>
  <c r="D13" i="8"/>
  <c r="B13" i="8"/>
  <c r="L12" i="8"/>
  <c r="J12" i="8"/>
  <c r="D12" i="8"/>
  <c r="B12" i="8"/>
  <c r="L11" i="8"/>
  <c r="J11" i="8"/>
  <c r="D11" i="8"/>
  <c r="B11" i="8"/>
  <c r="L10" i="8"/>
  <c r="J10" i="8"/>
  <c r="D10" i="8"/>
  <c r="B10" i="8"/>
  <c r="L9" i="8"/>
  <c r="J9" i="8"/>
  <c r="D9" i="8"/>
  <c r="B9" i="8"/>
  <c r="L8" i="8"/>
  <c r="J8" i="8"/>
  <c r="D8" i="8"/>
  <c r="B8" i="8"/>
  <c r="L7" i="8"/>
  <c r="J7" i="8"/>
  <c r="D7" i="8"/>
  <c r="B7" i="8"/>
  <c r="L6" i="8"/>
  <c r="J6" i="8"/>
  <c r="D6" i="8"/>
  <c r="B6" i="8"/>
  <c r="L5" i="8"/>
  <c r="J5" i="8"/>
  <c r="D5" i="8"/>
  <c r="B5" i="8"/>
  <c r="L4" i="8"/>
  <c r="J4" i="8"/>
  <c r="D4" i="8"/>
  <c r="B4" i="8"/>
  <c r="L46" i="7"/>
  <c r="J46" i="7"/>
  <c r="L45" i="7"/>
  <c r="J45" i="7"/>
  <c r="L44" i="7"/>
  <c r="J44" i="7"/>
  <c r="L43" i="7"/>
  <c r="J43" i="7"/>
  <c r="L42" i="7"/>
  <c r="J42" i="7"/>
  <c r="L41" i="7"/>
  <c r="J41" i="7"/>
  <c r="L40" i="7"/>
  <c r="J40" i="7"/>
  <c r="L39" i="7"/>
  <c r="J39" i="7"/>
  <c r="L38" i="7"/>
  <c r="J38" i="7"/>
  <c r="L37" i="7"/>
  <c r="J37" i="7"/>
  <c r="L36" i="7"/>
  <c r="J36" i="7"/>
  <c r="L35" i="7"/>
  <c r="J35" i="7"/>
  <c r="L34" i="7"/>
  <c r="J34" i="7"/>
  <c r="L33" i="7"/>
  <c r="J33" i="7"/>
  <c r="L32" i="7"/>
  <c r="J32" i="7"/>
  <c r="L31" i="7"/>
  <c r="J31" i="7"/>
  <c r="L30" i="7"/>
  <c r="J30" i="7"/>
  <c r="L29" i="7"/>
  <c r="J29" i="7"/>
  <c r="L28" i="7"/>
  <c r="J28" i="7"/>
  <c r="L27" i="7"/>
  <c r="J27" i="7"/>
  <c r="L26" i="7"/>
  <c r="J26" i="7"/>
  <c r="L25" i="7"/>
  <c r="J25" i="7"/>
  <c r="L24" i="7"/>
  <c r="J24" i="7"/>
  <c r="L23" i="7"/>
  <c r="J23" i="7"/>
  <c r="L22" i="7"/>
  <c r="J22" i="7"/>
  <c r="L21" i="7"/>
  <c r="J21" i="7"/>
  <c r="L20" i="7"/>
  <c r="J20" i="7"/>
  <c r="L19" i="7"/>
  <c r="J19" i="7"/>
  <c r="L18" i="7"/>
  <c r="J18" i="7"/>
  <c r="L17" i="7"/>
  <c r="J17" i="7"/>
  <c r="L16" i="7"/>
  <c r="J16" i="7"/>
  <c r="L15" i="7"/>
  <c r="J15" i="7"/>
  <c r="L14" i="7"/>
  <c r="J14" i="7"/>
  <c r="L13" i="7"/>
  <c r="J13" i="7"/>
  <c r="L12" i="7"/>
  <c r="J12" i="7"/>
  <c r="L11" i="7"/>
  <c r="J11" i="7"/>
  <c r="L10" i="7"/>
  <c r="J10" i="7"/>
  <c r="L9" i="7"/>
  <c r="J9" i="7"/>
  <c r="L8" i="7"/>
  <c r="J8" i="7"/>
  <c r="L7" i="7"/>
  <c r="J7" i="7"/>
  <c r="L6" i="7"/>
  <c r="J6" i="7"/>
  <c r="L5" i="7"/>
  <c r="J5" i="7"/>
  <c r="L4" i="7"/>
  <c r="J4" i="7"/>
  <c r="D46" i="7"/>
  <c r="B46" i="7"/>
  <c r="D45" i="7"/>
  <c r="B45" i="7"/>
  <c r="D44" i="7"/>
  <c r="B44" i="7"/>
  <c r="D43" i="7"/>
  <c r="B43" i="7"/>
  <c r="D42" i="7"/>
  <c r="B42" i="7"/>
  <c r="D41" i="7"/>
  <c r="B41" i="7"/>
  <c r="D40" i="7"/>
  <c r="B40" i="7"/>
  <c r="D39" i="7"/>
  <c r="B39" i="7"/>
  <c r="D38" i="7"/>
  <c r="B38" i="7"/>
  <c r="D37" i="7"/>
  <c r="B37" i="7"/>
  <c r="D36" i="7"/>
  <c r="B36" i="7"/>
  <c r="D35" i="7"/>
  <c r="B35" i="7"/>
  <c r="D34" i="7"/>
  <c r="B34" i="7"/>
  <c r="D33" i="7"/>
  <c r="B33" i="7"/>
  <c r="D32" i="7"/>
  <c r="B32" i="7"/>
  <c r="D31" i="7"/>
  <c r="B31" i="7"/>
  <c r="D30" i="7"/>
  <c r="B30" i="7"/>
  <c r="D29" i="7"/>
  <c r="B29" i="7"/>
  <c r="D28" i="7"/>
  <c r="B28" i="7"/>
  <c r="D27" i="7"/>
  <c r="B27" i="7"/>
  <c r="D26" i="7"/>
  <c r="B26" i="7"/>
  <c r="D25" i="7"/>
  <c r="B25" i="7"/>
  <c r="D24" i="7"/>
  <c r="B24" i="7"/>
  <c r="D23" i="7"/>
  <c r="B23" i="7"/>
  <c r="D22" i="7"/>
  <c r="B22" i="7"/>
  <c r="D21" i="7"/>
  <c r="B21" i="7"/>
  <c r="D20" i="7"/>
  <c r="B20" i="7"/>
  <c r="D19" i="7"/>
  <c r="B19" i="7"/>
  <c r="D18" i="7"/>
  <c r="B18" i="7"/>
  <c r="D17" i="7"/>
  <c r="B17" i="7"/>
  <c r="D16" i="7"/>
  <c r="B16" i="7"/>
  <c r="D15" i="7"/>
  <c r="B15" i="7"/>
  <c r="D14" i="7"/>
  <c r="B14" i="7"/>
  <c r="D13" i="7"/>
  <c r="B13" i="7"/>
  <c r="D12" i="7"/>
  <c r="B12" i="7"/>
  <c r="D11" i="7"/>
  <c r="B11" i="7"/>
  <c r="D10" i="7"/>
  <c r="B10" i="7"/>
  <c r="D9" i="7"/>
  <c r="B9" i="7"/>
  <c r="D8" i="7"/>
  <c r="B8" i="7"/>
  <c r="D7" i="7"/>
  <c r="B7" i="7"/>
  <c r="D6" i="7"/>
  <c r="B6" i="7"/>
  <c r="D5" i="7"/>
  <c r="B5" i="7"/>
  <c r="D4" i="7"/>
  <c r="B4" i="7"/>
  <c r="E17" i="11"/>
  <c r="M27" i="10"/>
  <c r="K46" i="10"/>
  <c r="K16" i="9"/>
  <c r="M44" i="10"/>
  <c r="K19" i="10"/>
  <c r="M46" i="8"/>
  <c r="C4" i="8"/>
  <c r="M30" i="10"/>
  <c r="K12" i="10"/>
  <c r="M10" i="10"/>
  <c r="M16" i="8"/>
  <c r="E27" i="9"/>
  <c r="K6" i="8"/>
  <c r="C38" i="7"/>
  <c r="M28" i="9"/>
  <c r="E22" i="10"/>
  <c r="C39" i="9"/>
  <c r="E38" i="9"/>
  <c r="M10" i="8"/>
  <c r="E31" i="9"/>
  <c r="K14" i="9"/>
  <c r="E41" i="8"/>
  <c r="C9" i="10"/>
  <c r="E36" i="9"/>
  <c r="M9" i="8"/>
  <c r="M4" i="9"/>
  <c r="C21" i="10"/>
  <c r="M45" i="7"/>
  <c r="E13" i="11"/>
  <c r="E39" i="10"/>
  <c r="M11" i="10"/>
  <c r="C20" i="10"/>
  <c r="C22" i="9"/>
  <c r="E19" i="10"/>
  <c r="C33" i="9"/>
  <c r="M38" i="8"/>
  <c r="M31" i="7"/>
  <c r="E12" i="10"/>
  <c r="K43" i="9"/>
  <c r="C6" i="11"/>
  <c r="C22" i="8"/>
  <c r="M21" i="9"/>
  <c r="E11" i="8"/>
  <c r="C22" i="7"/>
  <c r="E5" i="9"/>
  <c r="E6" i="10"/>
  <c r="K31" i="9"/>
  <c r="C27" i="10"/>
  <c r="C16" i="8"/>
  <c r="C24" i="10"/>
  <c r="M40" i="8"/>
  <c r="K30" i="8"/>
  <c r="M43" i="9"/>
  <c r="K42" i="10"/>
  <c r="C15" i="8"/>
  <c r="K36" i="8"/>
  <c r="C32" i="9"/>
  <c r="E23" i="7"/>
  <c r="E26" i="10"/>
  <c r="C27" i="8"/>
  <c r="C46" i="9"/>
  <c r="M18" i="7"/>
  <c r="K20" i="10"/>
  <c r="M16" i="10"/>
  <c r="C11" i="9"/>
  <c r="K25" i="9"/>
  <c r="M22" i="7"/>
  <c r="K18" i="9"/>
  <c r="C6" i="8"/>
  <c r="M33" i="7"/>
  <c r="M11" i="9"/>
  <c r="K36" i="9"/>
  <c r="M15" i="7"/>
  <c r="M8" i="8"/>
  <c r="E13" i="9"/>
  <c r="M19" i="7"/>
  <c r="E22" i="9"/>
  <c r="E5" i="10"/>
  <c r="E45" i="9"/>
  <c r="K46" i="9"/>
  <c r="C24" i="9"/>
  <c r="E9" i="7"/>
  <c r="C13" i="9"/>
  <c r="M14" i="7"/>
  <c r="E11" i="7"/>
  <c r="E38" i="8"/>
  <c r="C7" i="9"/>
  <c r="M38" i="7"/>
  <c r="M23" i="7"/>
  <c r="E46" i="8"/>
  <c r="M42" i="7"/>
  <c r="M9" i="9"/>
  <c r="M6" i="10"/>
  <c r="E19" i="9"/>
  <c r="K30" i="9"/>
  <c r="E25" i="7"/>
  <c r="M46" i="7"/>
  <c r="E30" i="8"/>
  <c r="E29" i="7"/>
  <c r="E36" i="8"/>
  <c r="E32" i="9"/>
  <c r="E43" i="8"/>
  <c r="C9" i="9"/>
  <c r="M30" i="7"/>
  <c r="E27" i="7"/>
  <c r="E34" i="8"/>
  <c r="M26" i="7"/>
  <c r="E21" i="9"/>
  <c r="M22" i="10"/>
  <c r="M42" i="9"/>
  <c r="C13" i="10"/>
  <c r="M12" i="7"/>
  <c r="K15" i="8"/>
  <c r="K40" i="8"/>
  <c r="M5" i="7"/>
  <c r="K7" i="10"/>
  <c r="M20" i="8"/>
  <c r="K10" i="8"/>
  <c r="M44" i="9"/>
  <c r="M21" i="8"/>
  <c r="C13" i="11"/>
  <c r="M27" i="8"/>
  <c r="K5" i="8"/>
  <c r="E14" i="10"/>
  <c r="C43" i="8"/>
  <c r="M35" i="10"/>
  <c r="M26" i="10"/>
  <c r="K4" i="10"/>
  <c r="E46" i="9"/>
  <c r="M14" i="8"/>
  <c r="E39" i="9"/>
  <c r="C8" i="9"/>
  <c r="M6" i="9"/>
  <c r="C25" i="10"/>
  <c r="E33" i="9"/>
  <c r="C23" i="9"/>
  <c r="K11" i="9"/>
  <c r="E40" i="7"/>
  <c r="C19" i="9"/>
  <c r="E28" i="7"/>
  <c r="K39" i="7"/>
  <c r="E18" i="10"/>
  <c r="C31" i="9"/>
  <c r="E30" i="9"/>
  <c r="M6" i="8"/>
  <c r="C16" i="11"/>
  <c r="C44" i="8"/>
  <c r="E33" i="8"/>
  <c r="K25" i="10"/>
  <c r="C4" i="11"/>
  <c r="C38" i="8"/>
  <c r="E23" i="10"/>
  <c r="K19" i="7"/>
  <c r="C37" i="8"/>
  <c r="K43" i="7"/>
  <c r="K21" i="7"/>
  <c r="C5" i="8"/>
  <c r="M34" i="10"/>
  <c r="C4" i="10"/>
  <c r="M30" i="8"/>
  <c r="K35" i="10"/>
  <c r="C6" i="7"/>
  <c r="K8" i="10"/>
  <c r="E19" i="8"/>
  <c r="E25" i="8"/>
  <c r="M42" i="10"/>
  <c r="M13" i="10"/>
  <c r="M20" i="10"/>
  <c r="M34" i="9"/>
  <c r="M8" i="10"/>
  <c r="K28" i="9"/>
  <c r="K15" i="9"/>
  <c r="K34" i="7"/>
  <c r="M15" i="9"/>
  <c r="C5" i="9"/>
  <c r="C10" i="9"/>
  <c r="K18" i="7"/>
  <c r="M12" i="10"/>
  <c r="E23" i="9"/>
  <c r="K23" i="9"/>
  <c r="K42" i="7"/>
  <c r="E36" i="7"/>
  <c r="K31" i="7"/>
  <c r="K33" i="10"/>
  <c r="M5" i="10"/>
  <c r="C42" i="7"/>
  <c r="E6" i="9"/>
  <c r="K12" i="7"/>
  <c r="C26" i="9"/>
  <c r="K20" i="9"/>
  <c r="C8" i="8"/>
  <c r="M24" i="8"/>
  <c r="M18" i="9"/>
  <c r="C7" i="8"/>
  <c r="M24" i="9"/>
  <c r="E21" i="10"/>
  <c r="M37" i="9"/>
  <c r="K35" i="9"/>
  <c r="C18" i="8"/>
  <c r="E7" i="8"/>
  <c r="M38" i="9"/>
  <c r="C19" i="8"/>
  <c r="K6" i="10"/>
  <c r="E34" i="10"/>
  <c r="K13" i="10"/>
  <c r="E23" i="11"/>
  <c r="E6" i="8"/>
  <c r="C17" i="7"/>
  <c r="C19" i="10"/>
  <c r="K13" i="8"/>
  <c r="C37" i="10"/>
  <c r="C32" i="8"/>
  <c r="K42" i="8"/>
  <c r="C44" i="9"/>
  <c r="C33" i="8"/>
  <c r="K11" i="7"/>
  <c r="M34" i="7"/>
  <c r="M24" i="10"/>
  <c r="C24" i="8"/>
  <c r="M4" i="8"/>
  <c r="E9" i="8"/>
  <c r="M23" i="8"/>
  <c r="K24" i="10"/>
  <c r="C23" i="11"/>
  <c r="K12" i="8"/>
  <c r="M35" i="8"/>
  <c r="E32" i="8"/>
  <c r="E40" i="9"/>
  <c r="E37" i="10"/>
  <c r="K21" i="10"/>
  <c r="E17" i="10"/>
  <c r="E4" i="8"/>
  <c r="K15" i="7"/>
  <c r="K14" i="10"/>
  <c r="K17" i="10"/>
  <c r="K45" i="10"/>
  <c r="M12" i="8"/>
  <c r="E18" i="9"/>
  <c r="C26" i="10"/>
  <c r="C40" i="10"/>
  <c r="K46" i="7"/>
  <c r="K7" i="9"/>
  <c r="C19" i="11"/>
  <c r="K19" i="9"/>
  <c r="E35" i="10"/>
  <c r="M34" i="8"/>
  <c r="M40" i="9"/>
  <c r="M19" i="9"/>
  <c r="K32" i="9"/>
  <c r="M36" i="10"/>
  <c r="K35" i="7"/>
  <c r="C38" i="9"/>
  <c r="K45" i="9"/>
  <c r="C21" i="9"/>
  <c r="E41" i="7"/>
  <c r="E33" i="7"/>
  <c r="K43" i="8"/>
  <c r="C21" i="11"/>
  <c r="K35" i="8"/>
  <c r="K41" i="8"/>
  <c r="E29" i="9"/>
  <c r="K10" i="9"/>
  <c r="E15" i="11"/>
  <c r="K40" i="7"/>
  <c r="E19" i="11"/>
  <c r="K37" i="10"/>
  <c r="C11" i="10"/>
  <c r="K27" i="10"/>
  <c r="E31" i="10"/>
  <c r="M31" i="10"/>
  <c r="M19" i="10"/>
  <c r="C45" i="9"/>
  <c r="K15" i="10"/>
  <c r="K33" i="9"/>
  <c r="K17" i="9"/>
  <c r="M41" i="7"/>
  <c r="C12" i="9"/>
  <c r="E19" i="7"/>
  <c r="K21" i="9"/>
  <c r="M9" i="7"/>
  <c r="K37" i="8"/>
  <c r="M38" i="10"/>
  <c r="M9" i="10"/>
  <c r="C45" i="7"/>
  <c r="C6" i="10"/>
  <c r="K14" i="8"/>
  <c r="K20" i="8"/>
  <c r="M39" i="8"/>
  <c r="C35" i="10"/>
  <c r="C18" i="7"/>
  <c r="K44" i="8"/>
  <c r="C31" i="8"/>
  <c r="M5" i="9"/>
  <c r="M33" i="10"/>
  <c r="E8" i="11"/>
  <c r="C23" i="10"/>
  <c r="E38" i="10"/>
  <c r="E20" i="8"/>
  <c r="C14" i="11"/>
  <c r="K37" i="9"/>
  <c r="M23" i="10"/>
  <c r="K11" i="10"/>
  <c r="E35" i="7"/>
  <c r="C5" i="11"/>
  <c r="K4" i="7"/>
  <c r="E20" i="7"/>
  <c r="C23" i="8"/>
  <c r="C43" i="9"/>
  <c r="M13" i="8"/>
  <c r="C16" i="7"/>
  <c r="E4" i="7"/>
  <c r="K45" i="8"/>
  <c r="E4" i="10"/>
  <c r="E16" i="8"/>
  <c r="C7" i="10"/>
  <c r="K7" i="8"/>
  <c r="M20" i="9"/>
  <c r="K39" i="9"/>
  <c r="C20" i="8"/>
  <c r="C28" i="8"/>
  <c r="C36" i="9"/>
  <c r="M42" i="8"/>
  <c r="C30" i="7"/>
  <c r="C36" i="7"/>
  <c r="M43" i="10"/>
  <c r="C22" i="10"/>
  <c r="C8" i="10"/>
  <c r="K22" i="8"/>
  <c r="K31" i="10"/>
  <c r="C41" i="9"/>
  <c r="M25" i="8"/>
  <c r="C19" i="7"/>
  <c r="E41" i="9"/>
  <c r="K40" i="9"/>
  <c r="M17" i="8"/>
  <c r="C11" i="7"/>
  <c r="K39" i="10"/>
  <c r="K18" i="8"/>
  <c r="M29" i="8"/>
  <c r="C23" i="7"/>
  <c r="C32" i="7"/>
  <c r="C33" i="7"/>
  <c r="E40" i="8"/>
  <c r="C16" i="9"/>
  <c r="K40" i="10"/>
  <c r="M32" i="7"/>
  <c r="M31" i="9"/>
  <c r="K5" i="9"/>
  <c r="E32" i="10"/>
  <c r="C42" i="9"/>
  <c r="K18" i="10"/>
  <c r="C37" i="9"/>
  <c r="E7" i="11"/>
  <c r="K32" i="7"/>
  <c r="K28" i="10"/>
  <c r="C10" i="10"/>
  <c r="E26" i="9"/>
  <c r="E38" i="7"/>
  <c r="E6" i="7"/>
  <c r="C10" i="8"/>
  <c r="E17" i="9"/>
  <c r="M39" i="9"/>
  <c r="C15" i="9"/>
  <c r="E25" i="9"/>
  <c r="E10" i="9"/>
  <c r="M7" i="9"/>
  <c r="M23" i="9"/>
  <c r="E20" i="9"/>
  <c r="K26" i="8"/>
  <c r="C39" i="8"/>
  <c r="C10" i="11"/>
  <c r="E24" i="10"/>
  <c r="E44" i="9"/>
  <c r="E5" i="8"/>
  <c r="C44" i="10"/>
  <c r="M25" i="7"/>
  <c r="M6" i="7"/>
  <c r="C20" i="7"/>
  <c r="M44" i="8"/>
  <c r="C44" i="7"/>
  <c r="K9" i="8"/>
  <c r="M11" i="8"/>
  <c r="M7" i="10"/>
  <c r="E4" i="9"/>
  <c r="C29" i="9"/>
  <c r="C15" i="7"/>
  <c r="K29" i="7"/>
  <c r="E18" i="11"/>
  <c r="K27" i="8"/>
  <c r="E27" i="8"/>
  <c r="E8" i="7"/>
  <c r="K39" i="8"/>
  <c r="E28" i="8"/>
  <c r="E35" i="8"/>
  <c r="M44" i="7"/>
  <c r="K8" i="8"/>
  <c r="C28" i="9"/>
  <c r="E15" i="8"/>
  <c r="M5" i="8"/>
  <c r="C17" i="8"/>
  <c r="E14" i="8"/>
  <c r="E22" i="11"/>
  <c r="K8" i="9"/>
  <c r="K6" i="7"/>
  <c r="C12" i="11"/>
  <c r="E28" i="10"/>
  <c r="K8" i="7"/>
  <c r="M28" i="10"/>
  <c r="M45" i="9"/>
  <c r="E40" i="10"/>
  <c r="K5" i="10"/>
  <c r="M15" i="10"/>
  <c r="E8" i="8"/>
  <c r="M4" i="10"/>
  <c r="M13" i="7"/>
  <c r="M41" i="10"/>
  <c r="E21" i="8"/>
  <c r="K44" i="7"/>
  <c r="E16" i="7"/>
  <c r="E24" i="11"/>
  <c r="M21" i="10"/>
  <c r="C43" i="7"/>
  <c r="E37" i="9"/>
  <c r="C4" i="9"/>
  <c r="C25" i="9"/>
  <c r="E24" i="7"/>
  <c r="K13" i="9"/>
  <c r="C15" i="11"/>
  <c r="E21" i="11"/>
  <c r="C17" i="11"/>
  <c r="K9" i="9"/>
  <c r="C7" i="11"/>
  <c r="C36" i="10"/>
  <c r="E14" i="11"/>
  <c r="E41" i="10"/>
  <c r="E46" i="10"/>
  <c r="K19" i="8"/>
  <c r="K29" i="9"/>
  <c r="M45" i="10"/>
  <c r="E16" i="9"/>
  <c r="C35" i="9"/>
  <c r="E30" i="7"/>
  <c r="M22" i="8"/>
  <c r="C46" i="10"/>
  <c r="M24" i="7"/>
  <c r="M15" i="8"/>
  <c r="E43" i="7"/>
  <c r="M7" i="8"/>
  <c r="C38" i="10"/>
  <c r="M19" i="8"/>
  <c r="K16" i="10"/>
  <c r="C34" i="9"/>
  <c r="E39" i="7"/>
  <c r="K44" i="10"/>
  <c r="K23" i="10"/>
  <c r="K43" i="10"/>
  <c r="E14" i="7"/>
  <c r="E8" i="10"/>
  <c r="M17" i="9"/>
  <c r="C39" i="10"/>
  <c r="E7" i="7"/>
  <c r="M16" i="7"/>
  <c r="K30" i="7"/>
  <c r="C24" i="7"/>
  <c r="E36" i="10"/>
  <c r="K16" i="7"/>
  <c r="K29" i="10"/>
  <c r="M37" i="7"/>
  <c r="K27" i="9"/>
  <c r="E46" i="7"/>
  <c r="E12" i="9"/>
  <c r="E22" i="7"/>
  <c r="K14" i="7"/>
  <c r="E15" i="10"/>
  <c r="M29" i="9"/>
  <c r="C36" i="8"/>
  <c r="E42" i="10"/>
  <c r="E23" i="8"/>
  <c r="C7" i="7"/>
  <c r="E12" i="7"/>
  <c r="E7" i="9"/>
  <c r="E11" i="10"/>
  <c r="E9" i="10"/>
  <c r="E45" i="10"/>
  <c r="M40" i="10"/>
  <c r="K16" i="8"/>
  <c r="E10" i="10"/>
  <c r="C43" i="10"/>
  <c r="C29" i="10"/>
  <c r="K38" i="8"/>
  <c r="K30" i="10"/>
  <c r="E34" i="9"/>
  <c r="M41" i="8"/>
  <c r="C35" i="7"/>
  <c r="K24" i="9"/>
  <c r="C12" i="8"/>
  <c r="M32" i="8"/>
  <c r="M27" i="9"/>
  <c r="M26" i="8"/>
  <c r="C18" i="11"/>
  <c r="C4" i="7"/>
  <c r="E37" i="7"/>
  <c r="M18" i="8"/>
  <c r="C30" i="10"/>
  <c r="C42" i="10"/>
  <c r="C11" i="11"/>
  <c r="M28" i="8"/>
  <c r="M22" i="9"/>
  <c r="C12" i="7"/>
  <c r="E21" i="7"/>
  <c r="E22" i="8"/>
  <c r="M11" i="7"/>
  <c r="E43" i="9"/>
  <c r="M10" i="9"/>
  <c r="C20" i="9"/>
  <c r="M32" i="10"/>
  <c r="C37" i="7"/>
  <c r="E6" i="11"/>
  <c r="M46" i="10"/>
  <c r="E30" i="10"/>
  <c r="K11" i="8"/>
  <c r="E16" i="11"/>
  <c r="C28" i="10"/>
  <c r="E9" i="11"/>
  <c r="K23" i="8"/>
  <c r="K32" i="8"/>
  <c r="E31" i="7"/>
  <c r="E13" i="8"/>
  <c r="K22" i="9"/>
  <c r="M17" i="7"/>
  <c r="C11" i="8"/>
  <c r="C8" i="7"/>
  <c r="E12" i="11"/>
  <c r="M46" i="9"/>
  <c r="M7" i="7"/>
  <c r="M16" i="9"/>
  <c r="M21" i="7"/>
  <c r="C16" i="10"/>
  <c r="M37" i="8"/>
  <c r="C45" i="10"/>
  <c r="M36" i="7"/>
  <c r="M41" i="9"/>
  <c r="M29" i="7"/>
  <c r="C25" i="7"/>
  <c r="C31" i="10"/>
  <c r="C12" i="10"/>
  <c r="C14" i="7"/>
  <c r="E5" i="7"/>
  <c r="E28" i="9"/>
  <c r="M43" i="7"/>
  <c r="C41" i="7"/>
  <c r="M13" i="9"/>
  <c r="C27" i="9"/>
  <c r="C9" i="11"/>
  <c r="E17" i="8"/>
  <c r="K32" i="10"/>
  <c r="K36" i="10"/>
  <c r="C32" i="10"/>
  <c r="K26" i="10"/>
  <c r="C17" i="9"/>
  <c r="E32" i="7"/>
  <c r="E45" i="7"/>
  <c r="C20" i="11"/>
  <c r="K22" i="10"/>
  <c r="M20" i="7"/>
  <c r="M28" i="7"/>
  <c r="C26" i="8"/>
  <c r="E9" i="9"/>
  <c r="C5" i="10"/>
  <c r="E10" i="8"/>
  <c r="K41" i="7"/>
  <c r="E37" i="8"/>
  <c r="K33" i="8"/>
  <c r="E20" i="11"/>
  <c r="E11" i="11"/>
  <c r="E4" i="11"/>
  <c r="C15" i="10"/>
  <c r="E43" i="10"/>
  <c r="E20" i="10"/>
  <c r="E25" i="10"/>
  <c r="E24" i="8"/>
  <c r="C41" i="10"/>
  <c r="C34" i="8"/>
  <c r="E7" i="10"/>
  <c r="K33" i="7"/>
  <c r="M29" i="10"/>
  <c r="E8" i="9"/>
  <c r="E14" i="9"/>
  <c r="C6" i="9"/>
  <c r="M18" i="10"/>
  <c r="M14" i="9"/>
  <c r="M26" i="9"/>
  <c r="K12" i="9"/>
  <c r="M37" i="10"/>
  <c r="K17" i="7"/>
  <c r="M32" i="9"/>
  <c r="C14" i="9"/>
  <c r="E15" i="9"/>
  <c r="C31" i="7"/>
  <c r="K38" i="7"/>
  <c r="E17" i="7"/>
  <c r="E26" i="8"/>
  <c r="E44" i="8"/>
  <c r="E42" i="7"/>
  <c r="C21" i="8"/>
  <c r="C30" i="8"/>
  <c r="C46" i="7"/>
  <c r="K25" i="7"/>
  <c r="M27" i="7"/>
  <c r="C40" i="8"/>
  <c r="K9" i="10"/>
  <c r="K20" i="7"/>
  <c r="C9" i="8"/>
  <c r="K17" i="8"/>
  <c r="M43" i="8"/>
  <c r="M39" i="10"/>
  <c r="E24" i="9"/>
  <c r="C18" i="10"/>
  <c r="K5" i="7"/>
  <c r="C46" i="8"/>
  <c r="M10" i="7"/>
  <c r="K44" i="9"/>
  <c r="K4" i="8"/>
  <c r="C34" i="10"/>
  <c r="E18" i="8"/>
  <c r="M35" i="9"/>
  <c r="K21" i="8"/>
  <c r="E31" i="8"/>
  <c r="E42" i="9"/>
  <c r="M12" i="9"/>
  <c r="M30" i="9"/>
  <c r="K31" i="8"/>
  <c r="C5" i="7"/>
  <c r="K34" i="10"/>
  <c r="C27" i="7"/>
  <c r="K34" i="8"/>
  <c r="C39" i="7"/>
  <c r="E18" i="7"/>
  <c r="M4" i="7"/>
  <c r="C18" i="9"/>
  <c r="M40" i="7"/>
  <c r="M35" i="7"/>
  <c r="C30" i="9"/>
  <c r="E44" i="10"/>
  <c r="C45" i="8"/>
  <c r="K7" i="7"/>
  <c r="E35" i="9"/>
  <c r="E45" i="8"/>
  <c r="K42" i="9"/>
  <c r="K10" i="7"/>
  <c r="K28" i="7"/>
  <c r="K45" i="7"/>
  <c r="C40" i="9"/>
  <c r="C24" i="11"/>
  <c r="C26" i="7"/>
  <c r="E39" i="8"/>
  <c r="C40" i="7"/>
  <c r="E5" i="11"/>
  <c r="K6" i="9"/>
  <c r="E44" i="7"/>
  <c r="C42" i="8"/>
  <c r="M33" i="9"/>
  <c r="E10" i="11"/>
  <c r="E33" i="10"/>
  <c r="E27" i="10"/>
  <c r="M25" i="10"/>
  <c r="M31" i="8"/>
  <c r="M14" i="10"/>
  <c r="E29" i="10"/>
  <c r="K10" i="10"/>
  <c r="E12" i="8"/>
  <c r="E34" i="7"/>
  <c r="K38" i="9"/>
  <c r="E13" i="7"/>
  <c r="M8" i="9"/>
  <c r="C33" i="10"/>
  <c r="C29" i="8"/>
  <c r="C8" i="11"/>
  <c r="C41" i="8"/>
  <c r="K27" i="7"/>
  <c r="M36" i="9"/>
  <c r="C10" i="7"/>
  <c r="C13" i="7"/>
  <c r="M17" i="10"/>
  <c r="E13" i="10"/>
  <c r="M36" i="8"/>
  <c r="K46" i="8"/>
  <c r="C34" i="7"/>
  <c r="K29" i="8"/>
  <c r="K41" i="9"/>
  <c r="K38" i="10"/>
  <c r="K9" i="7"/>
  <c r="E26" i="7"/>
  <c r="E42" i="8"/>
  <c r="E15" i="7"/>
  <c r="K36" i="7"/>
  <c r="K34" i="9"/>
  <c r="E10" i="7"/>
  <c r="K25" i="8"/>
  <c r="E16" i="10"/>
  <c r="C22" i="11"/>
  <c r="C29" i="7"/>
  <c r="K41" i="10"/>
  <c r="M39" i="7"/>
  <c r="K24" i="7"/>
  <c r="C17" i="10"/>
  <c r="C25" i="8"/>
  <c r="M25" i="9"/>
  <c r="K22" i="7"/>
  <c r="E29" i="8"/>
  <c r="K37" i="7"/>
  <c r="K13" i="7"/>
  <c r="C14" i="10"/>
  <c r="K28" i="8"/>
  <c r="C14" i="8"/>
  <c r="M8" i="7"/>
  <c r="C9" i="7"/>
  <c r="C28" i="7"/>
  <c r="C35" i="8"/>
  <c r="K4" i="9"/>
  <c r="C21" i="7"/>
  <c r="M33" i="8"/>
  <c r="M45" i="8"/>
  <c r="K23" i="7"/>
  <c r="E11" i="9"/>
  <c r="C13" i="8"/>
  <c r="K26" i="9"/>
  <c r="K26" i="7"/>
  <c r="K24" i="8"/>
  <c r="N24" i="8" l="1"/>
  <c r="O24" i="8" s="1"/>
  <c r="N26" i="7"/>
  <c r="O26" i="7" s="1"/>
  <c r="N26" i="9"/>
  <c r="O26" i="9" s="1"/>
  <c r="F13" i="8"/>
  <c r="G13" i="8" s="1"/>
  <c r="N23" i="7"/>
  <c r="O23" i="7" s="1"/>
  <c r="F21" i="7"/>
  <c r="G21" i="7" s="1"/>
  <c r="N4" i="9"/>
  <c r="O4" i="9" s="1"/>
  <c r="F35" i="8"/>
  <c r="G35" i="8" s="1"/>
  <c r="F28" i="7"/>
  <c r="G28" i="7" s="1"/>
  <c r="F9" i="7"/>
  <c r="G9" i="7" s="1"/>
  <c r="F14" i="8"/>
  <c r="G14" i="8" s="1"/>
  <c r="N28" i="8"/>
  <c r="O28" i="8" s="1"/>
  <c r="F14" i="10"/>
  <c r="G14" i="10" s="1"/>
  <c r="N13" i="7"/>
  <c r="O13" i="7" s="1"/>
  <c r="N37" i="7"/>
  <c r="O37" i="7" s="1"/>
  <c r="N22" i="7"/>
  <c r="O22" i="7" s="1"/>
  <c r="F25" i="8"/>
  <c r="G25" i="8" s="1"/>
  <c r="F17" i="10"/>
  <c r="G17" i="10" s="1"/>
  <c r="N24" i="7"/>
  <c r="O24" i="7" s="1"/>
  <c r="N41" i="10"/>
  <c r="O41" i="10" s="1"/>
  <c r="F29" i="7"/>
  <c r="G29" i="7" s="1"/>
  <c r="F22" i="11"/>
  <c r="G22" i="11" s="1"/>
  <c r="N25" i="8"/>
  <c r="O25" i="8" s="1"/>
  <c r="N34" i="9"/>
  <c r="O34" i="9" s="1"/>
  <c r="N36" i="7"/>
  <c r="O36" i="7" s="1"/>
  <c r="N9" i="7"/>
  <c r="O9" i="7" s="1"/>
  <c r="N38" i="10"/>
  <c r="O38" i="10" s="1"/>
  <c r="N41" i="9"/>
  <c r="O41" i="9" s="1"/>
  <c r="N29" i="8"/>
  <c r="O29" i="8" s="1"/>
  <c r="F34" i="7"/>
  <c r="G34" i="7" s="1"/>
  <c r="N46" i="8"/>
  <c r="O46" i="8" s="1"/>
  <c r="F13" i="7"/>
  <c r="G13" i="7" s="1"/>
  <c r="F10" i="7"/>
  <c r="G10" i="7" s="1"/>
  <c r="N27" i="7"/>
  <c r="O27" i="7" s="1"/>
  <c r="F41" i="8"/>
  <c r="G41" i="8" s="1"/>
  <c r="F8" i="11"/>
  <c r="G8" i="11" s="1"/>
  <c r="F29" i="8"/>
  <c r="G29" i="8" s="1"/>
  <c r="F33" i="10"/>
  <c r="G33" i="10" s="1"/>
  <c r="N38" i="9"/>
  <c r="O38" i="9" s="1"/>
  <c r="N10" i="10"/>
  <c r="O10" i="10" s="1"/>
  <c r="F42" i="8"/>
  <c r="G42" i="8" s="1"/>
  <c r="N6" i="9"/>
  <c r="O6" i="9" s="1"/>
  <c r="F40" i="7"/>
  <c r="G40" i="7" s="1"/>
  <c r="F26" i="7"/>
  <c r="G26" i="7" s="1"/>
  <c r="F24" i="11"/>
  <c r="G24" i="11" s="1"/>
  <c r="F40" i="9"/>
  <c r="G40" i="9" s="1"/>
  <c r="N45" i="7"/>
  <c r="O45" i="7" s="1"/>
  <c r="N28" i="7"/>
  <c r="O28" i="7" s="1"/>
  <c r="N10" i="7"/>
  <c r="O10" i="7" s="1"/>
  <c r="N42" i="9"/>
  <c r="O42" i="9" s="1"/>
  <c r="N7" i="7"/>
  <c r="O7" i="7" s="1"/>
  <c r="F45" i="8"/>
  <c r="G45" i="8" s="1"/>
  <c r="F30" i="9"/>
  <c r="G30" i="9" s="1"/>
  <c r="F18" i="9"/>
  <c r="G18" i="9" s="1"/>
  <c r="F39" i="7"/>
  <c r="G39" i="7" s="1"/>
  <c r="N34" i="8"/>
  <c r="O34" i="8" s="1"/>
  <c r="F27" i="7"/>
  <c r="G27" i="7" s="1"/>
  <c r="N34" i="10"/>
  <c r="O34" i="10" s="1"/>
  <c r="F5" i="7"/>
  <c r="G5" i="7" s="1"/>
  <c r="N31" i="8"/>
  <c r="O31" i="8" s="1"/>
  <c r="N21" i="8"/>
  <c r="O21" i="8" s="1"/>
  <c r="F34" i="10"/>
  <c r="G34" i="10" s="1"/>
  <c r="N4" i="8"/>
  <c r="O4" i="8" s="1"/>
  <c r="N44" i="9"/>
  <c r="O44" i="9" s="1"/>
  <c r="F46" i="8"/>
  <c r="G46" i="8" s="1"/>
  <c r="N5" i="7"/>
  <c r="O5" i="7" s="1"/>
  <c r="F18" i="10"/>
  <c r="G18" i="10" s="1"/>
  <c r="N17" i="8"/>
  <c r="O17" i="8" s="1"/>
  <c r="F9" i="8"/>
  <c r="G9" i="8" s="1"/>
  <c r="N20" i="7"/>
  <c r="O20" i="7" s="1"/>
  <c r="N9" i="10"/>
  <c r="O9" i="10" s="1"/>
  <c r="F40" i="8"/>
  <c r="G40" i="8" s="1"/>
  <c r="N25" i="7"/>
  <c r="O25" i="7" s="1"/>
  <c r="F46" i="7"/>
  <c r="G46" i="7" s="1"/>
  <c r="F30" i="8"/>
  <c r="G30" i="8" s="1"/>
  <c r="F21" i="8"/>
  <c r="G21" i="8" s="1"/>
  <c r="N38" i="7"/>
  <c r="O38" i="7" s="1"/>
  <c r="F31" i="7"/>
  <c r="G31" i="7" s="1"/>
  <c r="F14" i="9"/>
  <c r="G14" i="9" s="1"/>
  <c r="N17" i="7"/>
  <c r="O17" i="7" s="1"/>
  <c r="N12" i="9"/>
  <c r="O12" i="9" s="1"/>
  <c r="F6" i="9"/>
  <c r="G6" i="9" s="1"/>
  <c r="N33" i="7"/>
  <c r="O33" i="7" s="1"/>
  <c r="F34" i="8"/>
  <c r="G34" i="8" s="1"/>
  <c r="F41" i="10"/>
  <c r="G41" i="10" s="1"/>
  <c r="F15" i="10"/>
  <c r="G15" i="10" s="1"/>
  <c r="N33" i="8"/>
  <c r="O33" i="8" s="1"/>
  <c r="N41" i="7"/>
  <c r="O41" i="7" s="1"/>
  <c r="F5" i="10"/>
  <c r="G5" i="10" s="1"/>
  <c r="F26" i="8"/>
  <c r="G26" i="8" s="1"/>
  <c r="N22" i="10"/>
  <c r="O22" i="10" s="1"/>
  <c r="F20" i="11"/>
  <c r="G20" i="11" s="1"/>
  <c r="F17" i="9"/>
  <c r="G17" i="9" s="1"/>
  <c r="N26" i="10"/>
  <c r="O26" i="10" s="1"/>
  <c r="F32" i="10"/>
  <c r="G32" i="10" s="1"/>
  <c r="N36" i="10"/>
  <c r="O36" i="10" s="1"/>
  <c r="N32" i="10"/>
  <c r="O32" i="10" s="1"/>
  <c r="F9" i="11"/>
  <c r="G9" i="11" s="1"/>
  <c r="F27" i="9"/>
  <c r="G27" i="9" s="1"/>
  <c r="F41" i="7"/>
  <c r="G41" i="7" s="1"/>
  <c r="F14" i="7"/>
  <c r="G14" i="7" s="1"/>
  <c r="F12" i="10"/>
  <c r="G12" i="10" s="1"/>
  <c r="F31" i="10"/>
  <c r="G31" i="10" s="1"/>
  <c r="F25" i="7"/>
  <c r="G25" i="7" s="1"/>
  <c r="F45" i="10"/>
  <c r="G45" i="10" s="1"/>
  <c r="F16" i="10"/>
  <c r="G16" i="10" s="1"/>
  <c r="F8" i="7"/>
  <c r="G8" i="7" s="1"/>
  <c r="F11" i="8"/>
  <c r="G11" i="8" s="1"/>
  <c r="N22" i="9"/>
  <c r="O22" i="9" s="1"/>
  <c r="N32" i="8"/>
  <c r="O32" i="8" s="1"/>
  <c r="N23" i="8"/>
  <c r="O23" i="8" s="1"/>
  <c r="F28" i="10"/>
  <c r="G28" i="10" s="1"/>
  <c r="N11" i="8"/>
  <c r="O11" i="8" s="1"/>
  <c r="F37" i="7"/>
  <c r="G37" i="7" s="1"/>
  <c r="F20" i="9"/>
  <c r="G20" i="9" s="1"/>
  <c r="F12" i="7"/>
  <c r="G12" i="7" s="1"/>
  <c r="F11" i="11"/>
  <c r="G11" i="11" s="1"/>
  <c r="F42" i="10"/>
  <c r="G42" i="10" s="1"/>
  <c r="F30" i="10"/>
  <c r="G30" i="10" s="1"/>
  <c r="F4" i="7"/>
  <c r="G4" i="7" s="1"/>
  <c r="F18" i="11"/>
  <c r="G18" i="11" s="1"/>
  <c r="F12" i="8"/>
  <c r="G12" i="8" s="1"/>
  <c r="N24" i="9"/>
  <c r="O24" i="9" s="1"/>
  <c r="F35" i="7"/>
  <c r="G35" i="7" s="1"/>
  <c r="N30" i="10"/>
  <c r="O30" i="10" s="1"/>
  <c r="N38" i="8"/>
  <c r="O38" i="8" s="1"/>
  <c r="F29" i="10"/>
  <c r="G29" i="10" s="1"/>
  <c r="F43" i="10"/>
  <c r="G43" i="10" s="1"/>
  <c r="N16" i="8"/>
  <c r="O16" i="8" s="1"/>
  <c r="F7" i="7"/>
  <c r="G7" i="7" s="1"/>
  <c r="F36" i="8"/>
  <c r="G36" i="8" s="1"/>
  <c r="N14" i="7"/>
  <c r="O14" i="7" s="1"/>
  <c r="N27" i="9"/>
  <c r="O27" i="9" s="1"/>
  <c r="N29" i="10"/>
  <c r="O29" i="10" s="1"/>
  <c r="N16" i="7"/>
  <c r="O16" i="7" s="1"/>
  <c r="F24" i="7"/>
  <c r="G24" i="7" s="1"/>
  <c r="N30" i="7"/>
  <c r="O30" i="7" s="1"/>
  <c r="F39" i="10"/>
  <c r="G39" i="10" s="1"/>
  <c r="N43" i="10"/>
  <c r="O43" i="10" s="1"/>
  <c r="N23" i="10"/>
  <c r="O23" i="10" s="1"/>
  <c r="N44" i="10"/>
  <c r="O44" i="10" s="1"/>
  <c r="F34" i="9"/>
  <c r="G34" i="9" s="1"/>
  <c r="N16" i="10"/>
  <c r="O16" i="10" s="1"/>
  <c r="F38" i="10"/>
  <c r="G38" i="10" s="1"/>
  <c r="F46" i="10"/>
  <c r="G46" i="10" s="1"/>
  <c r="F35" i="9"/>
  <c r="G35" i="9" s="1"/>
  <c r="N29" i="9"/>
  <c r="O29" i="9" s="1"/>
  <c r="N19" i="8"/>
  <c r="O19" i="8" s="1"/>
  <c r="F36" i="10"/>
  <c r="G36" i="10" s="1"/>
  <c r="F7" i="11"/>
  <c r="G7" i="11" s="1"/>
  <c r="N9" i="9"/>
  <c r="O9" i="9" s="1"/>
  <c r="F17" i="11"/>
  <c r="G17" i="11" s="1"/>
  <c r="F15" i="11"/>
  <c r="G15" i="11" s="1"/>
  <c r="N13" i="9"/>
  <c r="O13" i="9" s="1"/>
  <c r="F25" i="9"/>
  <c r="G25" i="9" s="1"/>
  <c r="F4" i="9"/>
  <c r="G4" i="9" s="1"/>
  <c r="F43" i="7"/>
  <c r="G43" i="7" s="1"/>
  <c r="N44" i="7"/>
  <c r="O44" i="7" s="1"/>
  <c r="N5" i="10"/>
  <c r="O5" i="10" s="1"/>
  <c r="N8" i="7"/>
  <c r="O8" i="7" s="1"/>
  <c r="F12" i="11"/>
  <c r="G12" i="11" s="1"/>
  <c r="N6" i="7"/>
  <c r="O6" i="7" s="1"/>
  <c r="N8" i="9"/>
  <c r="O8" i="9" s="1"/>
  <c r="F17" i="8"/>
  <c r="G17" i="8" s="1"/>
  <c r="F28" i="9"/>
  <c r="G28" i="9" s="1"/>
  <c r="N8" i="8"/>
  <c r="O8" i="8" s="1"/>
  <c r="N39" i="8"/>
  <c r="O39" i="8" s="1"/>
  <c r="N27" i="8"/>
  <c r="O27" i="8" s="1"/>
  <c r="N29" i="7"/>
  <c r="O29" i="7" s="1"/>
  <c r="F15" i="7"/>
  <c r="G15" i="7" s="1"/>
  <c r="F29" i="9"/>
  <c r="G29" i="9" s="1"/>
  <c r="N9" i="8"/>
  <c r="O9" i="8" s="1"/>
  <c r="F44" i="7"/>
  <c r="G44" i="7" s="1"/>
  <c r="F20" i="7"/>
  <c r="G20" i="7" s="1"/>
  <c r="F44" i="10"/>
  <c r="G44" i="10" s="1"/>
  <c r="F10" i="11"/>
  <c r="G10" i="11" s="1"/>
  <c r="F39" i="8"/>
  <c r="G39" i="8" s="1"/>
  <c r="N26" i="8"/>
  <c r="O26" i="8" s="1"/>
  <c r="F15" i="9"/>
  <c r="G15" i="9" s="1"/>
  <c r="F10" i="8"/>
  <c r="G10" i="8" s="1"/>
  <c r="F10" i="10"/>
  <c r="G10" i="10" s="1"/>
  <c r="N28" i="10"/>
  <c r="O28" i="10" s="1"/>
  <c r="N32" i="7"/>
  <c r="O32" i="7" s="1"/>
  <c r="F37" i="9"/>
  <c r="G37" i="9" s="1"/>
  <c r="N18" i="10"/>
  <c r="O18" i="10" s="1"/>
  <c r="F42" i="9"/>
  <c r="G42" i="9" s="1"/>
  <c r="N5" i="9"/>
  <c r="O5" i="9" s="1"/>
  <c r="N40" i="10"/>
  <c r="O40" i="10" s="1"/>
  <c r="F16" i="9"/>
  <c r="G16" i="9" s="1"/>
  <c r="F33" i="7"/>
  <c r="G33" i="7" s="1"/>
  <c r="F32" i="7"/>
  <c r="G32" i="7" s="1"/>
  <c r="F23" i="7"/>
  <c r="G23" i="7" s="1"/>
  <c r="N18" i="8"/>
  <c r="O18" i="8" s="1"/>
  <c r="N39" i="10"/>
  <c r="O39" i="10" s="1"/>
  <c r="F11" i="7"/>
  <c r="G11" i="7" s="1"/>
  <c r="N40" i="9"/>
  <c r="O40" i="9" s="1"/>
  <c r="F19" i="7"/>
  <c r="G19" i="7" s="1"/>
  <c r="F41" i="9"/>
  <c r="G41" i="9" s="1"/>
  <c r="N31" i="10"/>
  <c r="O31" i="10" s="1"/>
  <c r="N22" i="8"/>
  <c r="O22" i="8" s="1"/>
  <c r="F8" i="10"/>
  <c r="G8" i="10" s="1"/>
  <c r="F22" i="10"/>
  <c r="G22" i="10" s="1"/>
  <c r="F36" i="7"/>
  <c r="G36" i="7" s="1"/>
  <c r="F30" i="7"/>
  <c r="G30" i="7" s="1"/>
  <c r="F36" i="9"/>
  <c r="G36" i="9" s="1"/>
  <c r="F28" i="8"/>
  <c r="G28" i="8" s="1"/>
  <c r="F20" i="8"/>
  <c r="G20" i="8" s="1"/>
  <c r="N39" i="9"/>
  <c r="O39" i="9" s="1"/>
  <c r="N7" i="8"/>
  <c r="O7" i="8" s="1"/>
  <c r="F7" i="10"/>
  <c r="G7" i="10" s="1"/>
  <c r="N45" i="8"/>
  <c r="O45" i="8" s="1"/>
  <c r="F16" i="7"/>
  <c r="G16" i="7" s="1"/>
  <c r="F43" i="9"/>
  <c r="G43" i="9" s="1"/>
  <c r="F23" i="8"/>
  <c r="G23" i="8" s="1"/>
  <c r="N4" i="7"/>
  <c r="O4" i="7" s="1"/>
  <c r="F5" i="11"/>
  <c r="G5" i="11" s="1"/>
  <c r="N11" i="10"/>
  <c r="O11" i="10" s="1"/>
  <c r="N37" i="9"/>
  <c r="O37" i="9" s="1"/>
  <c r="F14" i="11"/>
  <c r="G14" i="11" s="1"/>
  <c r="F23" i="10"/>
  <c r="G23" i="10" s="1"/>
  <c r="F31" i="8"/>
  <c r="G31" i="8" s="1"/>
  <c r="N44" i="8"/>
  <c r="O44" i="8" s="1"/>
  <c r="F18" i="7"/>
  <c r="G18" i="7" s="1"/>
  <c r="F35" i="10"/>
  <c r="G35" i="10" s="1"/>
  <c r="N20" i="8"/>
  <c r="O20" i="8" s="1"/>
  <c r="N14" i="8"/>
  <c r="O14" i="8" s="1"/>
  <c r="F6" i="10"/>
  <c r="G6" i="10" s="1"/>
  <c r="F45" i="7"/>
  <c r="G45" i="7" s="1"/>
  <c r="N37" i="8"/>
  <c r="O37" i="8" s="1"/>
  <c r="N21" i="9"/>
  <c r="O21" i="9" s="1"/>
  <c r="F12" i="9"/>
  <c r="G12" i="9" s="1"/>
  <c r="N17" i="9"/>
  <c r="O17" i="9" s="1"/>
  <c r="N33" i="9"/>
  <c r="O33" i="9" s="1"/>
  <c r="N15" i="10"/>
  <c r="O15" i="10" s="1"/>
  <c r="F45" i="9"/>
  <c r="G45" i="9" s="1"/>
  <c r="N27" i="10"/>
  <c r="O27" i="10" s="1"/>
  <c r="F11" i="10"/>
  <c r="G11" i="10" s="1"/>
  <c r="N37" i="10"/>
  <c r="O37" i="10" s="1"/>
  <c r="N40" i="7"/>
  <c r="O40" i="7" s="1"/>
  <c r="N10" i="9"/>
  <c r="O10" i="9" s="1"/>
  <c r="N41" i="8"/>
  <c r="O41" i="8" s="1"/>
  <c r="N35" i="8"/>
  <c r="O35" i="8" s="1"/>
  <c r="F21" i="11"/>
  <c r="G21" i="11" s="1"/>
  <c r="N43" i="8"/>
  <c r="O43" i="8" s="1"/>
  <c r="F21" i="9"/>
  <c r="G21" i="9" s="1"/>
  <c r="N45" i="9"/>
  <c r="O45" i="9" s="1"/>
  <c r="F38" i="9"/>
  <c r="G38" i="9" s="1"/>
  <c r="N35" i="7"/>
  <c r="O35" i="7" s="1"/>
  <c r="N32" i="9"/>
  <c r="O32" i="9" s="1"/>
  <c r="N19" i="9"/>
  <c r="O19" i="9" s="1"/>
  <c r="F19" i="11"/>
  <c r="G19" i="11" s="1"/>
  <c r="N7" i="9"/>
  <c r="O7" i="9" s="1"/>
  <c r="N46" i="7"/>
  <c r="O46" i="7" s="1"/>
  <c r="F40" i="10"/>
  <c r="G40" i="10" s="1"/>
  <c r="F26" i="10"/>
  <c r="G26" i="10" s="1"/>
  <c r="N45" i="10"/>
  <c r="O45" i="10" s="1"/>
  <c r="N17" i="10"/>
  <c r="O17" i="10" s="1"/>
  <c r="N14" i="10"/>
  <c r="O14" i="10" s="1"/>
  <c r="N15" i="7"/>
  <c r="O15" i="7" s="1"/>
  <c r="N21" i="10"/>
  <c r="O21" i="10" s="1"/>
  <c r="N12" i="8"/>
  <c r="O12" i="8" s="1"/>
  <c r="F23" i="11"/>
  <c r="G23" i="11" s="1"/>
  <c r="N24" i="10"/>
  <c r="O24" i="10" s="1"/>
  <c r="F24" i="8"/>
  <c r="G24" i="8" s="1"/>
  <c r="N11" i="7"/>
  <c r="O11" i="7" s="1"/>
  <c r="F33" i="8"/>
  <c r="G33" i="8" s="1"/>
  <c r="F44" i="9"/>
  <c r="G44" i="9" s="1"/>
  <c r="N42" i="8"/>
  <c r="O42" i="8" s="1"/>
  <c r="F32" i="8"/>
  <c r="G32" i="8" s="1"/>
  <c r="F37" i="10"/>
  <c r="G37" i="10" s="1"/>
  <c r="N13" i="8"/>
  <c r="O13" i="8" s="1"/>
  <c r="F19" i="10"/>
  <c r="G19" i="10" s="1"/>
  <c r="F17" i="7"/>
  <c r="G17" i="7" s="1"/>
  <c r="N13" i="10"/>
  <c r="O13" i="10" s="1"/>
  <c r="N6" i="10"/>
  <c r="O6" i="10" s="1"/>
  <c r="F19" i="8"/>
  <c r="G19" i="8" s="1"/>
  <c r="F18" i="8"/>
  <c r="G18" i="8" s="1"/>
  <c r="N35" i="9"/>
  <c r="O35" i="9" s="1"/>
  <c r="F7" i="8"/>
  <c r="G7" i="8" s="1"/>
  <c r="F8" i="8"/>
  <c r="G8" i="8" s="1"/>
  <c r="N20" i="9"/>
  <c r="O20" i="9" s="1"/>
  <c r="F26" i="9"/>
  <c r="G26" i="9" s="1"/>
  <c r="N12" i="7"/>
  <c r="O12" i="7" s="1"/>
  <c r="F42" i="7"/>
  <c r="G42" i="7" s="1"/>
  <c r="N33" i="10"/>
  <c r="O33" i="10" s="1"/>
  <c r="N31" i="7"/>
  <c r="O31" i="7" s="1"/>
  <c r="N42" i="7"/>
  <c r="O42" i="7" s="1"/>
  <c r="N23" i="9"/>
  <c r="O23" i="9" s="1"/>
  <c r="N18" i="7"/>
  <c r="O18" i="7" s="1"/>
  <c r="F10" i="9"/>
  <c r="G10" i="9" s="1"/>
  <c r="F5" i="9"/>
  <c r="G5" i="9" s="1"/>
  <c r="N34" i="7"/>
  <c r="O34" i="7" s="1"/>
  <c r="N15" i="9"/>
  <c r="O15" i="9" s="1"/>
  <c r="N28" i="9"/>
  <c r="O28" i="9" s="1"/>
  <c r="N8" i="10"/>
  <c r="O8" i="10" s="1"/>
  <c r="F6" i="7"/>
  <c r="G6" i="7" s="1"/>
  <c r="N35" i="10"/>
  <c r="O35" i="10" s="1"/>
  <c r="F4" i="10"/>
  <c r="G4" i="10" s="1"/>
  <c r="F5" i="8"/>
  <c r="G5" i="8" s="1"/>
  <c r="N21" i="7"/>
  <c r="O21" i="7" s="1"/>
  <c r="N43" i="7"/>
  <c r="O43" i="7" s="1"/>
  <c r="F37" i="8"/>
  <c r="G37" i="8" s="1"/>
  <c r="N19" i="7"/>
  <c r="O19" i="7" s="1"/>
  <c r="F38" i="8"/>
  <c r="G38" i="8" s="1"/>
  <c r="F4" i="11"/>
  <c r="G4" i="11" s="1"/>
  <c r="N25" i="10"/>
  <c r="O25" i="10" s="1"/>
  <c r="F44" i="8"/>
  <c r="G44" i="8" s="1"/>
  <c r="F16" i="11"/>
  <c r="G16" i="11" s="1"/>
  <c r="F31" i="9"/>
  <c r="G31" i="9" s="1"/>
  <c r="N39" i="7"/>
  <c r="O39" i="7" s="1"/>
  <c r="F19" i="9"/>
  <c r="G19" i="9" s="1"/>
  <c r="N11" i="9"/>
  <c r="O11" i="9" s="1"/>
  <c r="F23" i="9"/>
  <c r="G23" i="9" s="1"/>
  <c r="F25" i="10"/>
  <c r="G25" i="10" s="1"/>
  <c r="F8" i="9"/>
  <c r="G8" i="9" s="1"/>
  <c r="N4" i="10"/>
  <c r="O4" i="10" s="1"/>
  <c r="F43" i="8"/>
  <c r="G43" i="8" s="1"/>
  <c r="N5" i="8"/>
  <c r="O5" i="8" s="1"/>
  <c r="F13" i="11"/>
  <c r="G13" i="11" s="1"/>
  <c r="N10" i="8"/>
  <c r="O10" i="8" s="1"/>
  <c r="N7" i="10"/>
  <c r="O7" i="10" s="1"/>
  <c r="N40" i="8"/>
  <c r="O40" i="8" s="1"/>
  <c r="N15" i="8"/>
  <c r="O15" i="8" s="1"/>
  <c r="F13" i="10"/>
  <c r="G13" i="10" s="1"/>
  <c r="F9" i="9"/>
  <c r="G9" i="9" s="1"/>
  <c r="N30" i="9"/>
  <c r="O30" i="9" s="1"/>
  <c r="F7" i="9"/>
  <c r="G7" i="9" s="1"/>
  <c r="F13" i="9"/>
  <c r="G13" i="9" s="1"/>
  <c r="F24" i="9"/>
  <c r="G24" i="9" s="1"/>
  <c r="N46" i="9"/>
  <c r="O46" i="9" s="1"/>
  <c r="N36" i="9"/>
  <c r="O36" i="9" s="1"/>
  <c r="F6" i="8"/>
  <c r="G6" i="8" s="1"/>
  <c r="N18" i="9"/>
  <c r="O18" i="9" s="1"/>
  <c r="N25" i="9"/>
  <c r="O25" i="9" s="1"/>
  <c r="F11" i="9"/>
  <c r="G11" i="9" s="1"/>
  <c r="N20" i="10"/>
  <c r="O20" i="10" s="1"/>
  <c r="F46" i="9"/>
  <c r="G46" i="9" s="1"/>
  <c r="F27" i="8"/>
  <c r="G27" i="8" s="1"/>
  <c r="F32" i="9"/>
  <c r="G32" i="9" s="1"/>
  <c r="N36" i="8"/>
  <c r="O36" i="8" s="1"/>
  <c r="F15" i="8"/>
  <c r="G15" i="8" s="1"/>
  <c r="N42" i="10"/>
  <c r="O42" i="10" s="1"/>
  <c r="N30" i="8"/>
  <c r="O30" i="8" s="1"/>
  <c r="F24" i="10"/>
  <c r="G24" i="10" s="1"/>
  <c r="F16" i="8"/>
  <c r="G16" i="8" s="1"/>
  <c r="F27" i="10"/>
  <c r="G27" i="10" s="1"/>
  <c r="N31" i="9"/>
  <c r="O31" i="9" s="1"/>
  <c r="F22" i="7"/>
  <c r="G22" i="7" s="1"/>
  <c r="F22" i="8"/>
  <c r="G22" i="8" s="1"/>
  <c r="F6" i="11"/>
  <c r="G6" i="11" s="1"/>
  <c r="N43" i="9"/>
  <c r="O43" i="9" s="1"/>
  <c r="F33" i="9"/>
  <c r="G33" i="9" s="1"/>
  <c r="F22" i="9"/>
  <c r="G22" i="9" s="1"/>
  <c r="F20" i="10"/>
  <c r="G20" i="10" s="1"/>
  <c r="F21" i="10"/>
  <c r="G21" i="10" s="1"/>
  <c r="F9" i="10"/>
  <c r="G9" i="10" s="1"/>
  <c r="N14" i="9"/>
  <c r="O14" i="9" s="1"/>
  <c r="F39" i="9"/>
  <c r="G39" i="9" s="1"/>
  <c r="F38" i="7"/>
  <c r="G38" i="7" s="1"/>
  <c r="N6" i="8"/>
  <c r="O6" i="8" s="1"/>
  <c r="N12" i="10"/>
  <c r="O12" i="10" s="1"/>
  <c r="F4" i="8"/>
  <c r="G4" i="8" s="1"/>
  <c r="N19" i="10"/>
  <c r="O19" i="10" s="1"/>
  <c r="N16" i="9"/>
  <c r="O16" i="9" s="1"/>
  <c r="N46" i="10"/>
  <c r="O46" i="10" s="1"/>
  <c r="P24" i="8"/>
  <c r="P26" i="9"/>
  <c r="P23" i="7"/>
  <c r="P4" i="9"/>
  <c r="H28" i="7"/>
  <c r="H14" i="8"/>
  <c r="H14" i="10"/>
  <c r="P37" i="7"/>
  <c r="H25" i="8"/>
  <c r="P24" i="7"/>
  <c r="H29" i="7"/>
  <c r="P25" i="8"/>
  <c r="P36" i="7"/>
  <c r="P38" i="10"/>
  <c r="P29" i="8"/>
  <c r="P46" i="8"/>
  <c r="H10" i="7"/>
  <c r="H41" i="8"/>
  <c r="H29" i="8"/>
  <c r="P38" i="9"/>
  <c r="H42" i="8"/>
  <c r="H40" i="7"/>
  <c r="H24" i="11"/>
  <c r="P45" i="7"/>
  <c r="P10" i="7"/>
  <c r="P7" i="7"/>
  <c r="H30" i="9"/>
  <c r="H39" i="7"/>
  <c r="H27" i="7"/>
  <c r="H5" i="7"/>
  <c r="P21" i="8"/>
  <c r="P4" i="8"/>
  <c r="H46" i="8"/>
  <c r="H18" i="10"/>
  <c r="H9" i="8"/>
  <c r="P9" i="10"/>
  <c r="P25" i="7"/>
  <c r="H30" i="8"/>
  <c r="P38" i="7"/>
  <c r="H14" i="9"/>
  <c r="P12" i="9"/>
  <c r="P33" i="7"/>
  <c r="H41" i="10"/>
  <c r="P33" i="8"/>
  <c r="H5" i="10"/>
  <c r="P22" i="10"/>
  <c r="H17" i="9"/>
  <c r="H32" i="10"/>
  <c r="P32" i="10"/>
  <c r="H27" i="9"/>
  <c r="H14" i="7"/>
  <c r="H31" i="10"/>
  <c r="H45" i="10"/>
  <c r="H8" i="7"/>
  <c r="P22" i="9"/>
  <c r="P23" i="8"/>
  <c r="P11" i="8"/>
  <c r="H20" i="9"/>
  <c r="H11" i="11"/>
  <c r="H30" i="10"/>
  <c r="H18" i="11"/>
  <c r="P24" i="9"/>
  <c r="P30" i="10"/>
  <c r="H29" i="10"/>
  <c r="P16" i="8"/>
  <c r="H36" i="8"/>
  <c r="P27" i="9"/>
  <c r="P16" i="7"/>
  <c r="P30" i="7"/>
  <c r="P43" i="10"/>
  <c r="P44" i="10"/>
  <c r="P16" i="10"/>
  <c r="H46" i="10"/>
  <c r="P29" i="9"/>
  <c r="H36" i="10"/>
  <c r="P9" i="9"/>
  <c r="H15" i="11"/>
  <c r="H25" i="9"/>
  <c r="H43" i="7"/>
  <c r="P5" i="10"/>
  <c r="H12" i="11"/>
  <c r="P8" i="9"/>
  <c r="H28" i="9"/>
  <c r="P39" i="8"/>
  <c r="P29" i="7"/>
  <c r="H29" i="9"/>
  <c r="H44" i="7"/>
  <c r="H44" i="10"/>
  <c r="H39" i="8"/>
  <c r="H15" i="9"/>
  <c r="H10" i="10"/>
  <c r="P32" i="7"/>
  <c r="P18" i="10"/>
  <c r="P5" i="9"/>
  <c r="H16" i="9"/>
  <c r="H32" i="7"/>
  <c r="P18" i="8"/>
  <c r="H11" i="7"/>
  <c r="H19" i="7"/>
  <c r="P31" i="10"/>
  <c r="H8" i="10"/>
  <c r="H36" i="7"/>
  <c r="H36" i="9"/>
  <c r="H20" i="8"/>
  <c r="P7" i="8"/>
  <c r="P45" i="8"/>
  <c r="H43" i="9"/>
  <c r="P4" i="7"/>
  <c r="P11" i="10"/>
  <c r="H14" i="11"/>
  <c r="H31" i="8"/>
  <c r="H18" i="7"/>
  <c r="P20" i="8"/>
  <c r="H6" i="10"/>
  <c r="P37" i="8"/>
  <c r="H12" i="9"/>
  <c r="P33" i="9"/>
  <c r="H45" i="9"/>
  <c r="H11" i="10"/>
  <c r="P40" i="7"/>
  <c r="P26" i="7"/>
  <c r="H13" i="8"/>
  <c r="H21" i="7"/>
  <c r="H35" i="8"/>
  <c r="H9" i="7"/>
  <c r="P28" i="8"/>
  <c r="P13" i="7"/>
  <c r="P22" i="7"/>
  <c r="H17" i="10"/>
  <c r="P41" i="10"/>
  <c r="H22" i="11"/>
  <c r="P34" i="9"/>
  <c r="P9" i="7"/>
  <c r="P41" i="9"/>
  <c r="H34" i="7"/>
  <c r="H13" i="7"/>
  <c r="P27" i="7"/>
  <c r="H8" i="11"/>
  <c r="H33" i="10"/>
  <c r="P10" i="10"/>
  <c r="P6" i="9"/>
  <c r="H26" i="7"/>
  <c r="H40" i="9"/>
  <c r="P28" i="7"/>
  <c r="P42" i="9"/>
  <c r="H45" i="8"/>
  <c r="H18" i="9"/>
  <c r="P34" i="8"/>
  <c r="P34" i="10"/>
  <c r="P31" i="8"/>
  <c r="H34" i="10"/>
  <c r="P44" i="9"/>
  <c r="P5" i="7"/>
  <c r="P17" i="8"/>
  <c r="P20" i="7"/>
  <c r="H40" i="8"/>
  <c r="H46" i="7"/>
  <c r="H21" i="8"/>
  <c r="H31" i="7"/>
  <c r="P17" i="7"/>
  <c r="P41" i="8"/>
  <c r="H21" i="11"/>
  <c r="H21" i="9"/>
  <c r="H38" i="9"/>
  <c r="P32" i="9"/>
  <c r="H19" i="11"/>
  <c r="P46" i="7"/>
  <c r="H26" i="10"/>
  <c r="P17" i="10"/>
  <c r="P15" i="7"/>
  <c r="P12" i="8"/>
  <c r="P24" i="10"/>
  <c r="P11" i="7"/>
  <c r="H44" i="9"/>
  <c r="H32" i="8"/>
  <c r="P13" i="8"/>
  <c r="H17" i="7"/>
  <c r="P6" i="10"/>
  <c r="H18" i="8"/>
  <c r="H7" i="8"/>
  <c r="P20" i="9"/>
  <c r="P12" i="7"/>
  <c r="P33" i="10"/>
  <c r="P42" i="7"/>
  <c r="P18" i="7"/>
  <c r="H5" i="9"/>
  <c r="P15" i="9"/>
  <c r="P8" i="10"/>
  <c r="P35" i="10"/>
  <c r="H5" i="8"/>
  <c r="P43" i="7"/>
  <c r="P19" i="7"/>
  <c r="H4" i="11"/>
  <c r="H44" i="8"/>
  <c r="H31" i="9"/>
  <c r="H19" i="9"/>
  <c r="H23" i="9"/>
  <c r="H8" i="9"/>
  <c r="H43" i="8"/>
  <c r="H13" i="11"/>
  <c r="P7" i="10"/>
  <c r="P15" i="8"/>
  <c r="H9" i="9"/>
  <c r="H7" i="9"/>
  <c r="H24" i="9"/>
  <c r="P36" i="9"/>
  <c r="P18" i="9"/>
  <c r="H11" i="9"/>
  <c r="H46" i="9"/>
  <c r="H32" i="9"/>
  <c r="H15" i="8"/>
  <c r="P30" i="8"/>
  <c r="H16" i="8"/>
  <c r="P31" i="9"/>
  <c r="H22" i="8"/>
  <c r="P43" i="9"/>
  <c r="H22" i="9"/>
  <c r="H21" i="10"/>
  <c r="P14" i="9"/>
  <c r="H38" i="7"/>
  <c r="P12" i="10"/>
  <c r="P19" i="10"/>
  <c r="P46" i="10"/>
  <c r="H6" i="9"/>
  <c r="H34" i="8"/>
  <c r="H15" i="10"/>
  <c r="P41" i="7"/>
  <c r="H26" i="8"/>
  <c r="H20" i="11"/>
  <c r="P26" i="10"/>
  <c r="P36" i="10"/>
  <c r="H9" i="11"/>
  <c r="H41" i="7"/>
  <c r="H12" i="10"/>
  <c r="H25" i="7"/>
  <c r="H16" i="10"/>
  <c r="H11" i="8"/>
  <c r="P32" i="8"/>
  <c r="H28" i="10"/>
  <c r="H37" i="7"/>
  <c r="H12" i="7"/>
  <c r="H42" i="10"/>
  <c r="H4" i="7"/>
  <c r="H12" i="8"/>
  <c r="H35" i="7"/>
  <c r="P38" i="8"/>
  <c r="H43" i="10"/>
  <c r="H7" i="7"/>
  <c r="P14" i="7"/>
  <c r="P29" i="10"/>
  <c r="H24" i="7"/>
  <c r="H39" i="10"/>
  <c r="P23" i="10"/>
  <c r="H34" i="9"/>
  <c r="H38" i="10"/>
  <c r="H35" i="9"/>
  <c r="P19" i="8"/>
  <c r="H7" i="11"/>
  <c r="H17" i="11"/>
  <c r="P13" i="9"/>
  <c r="H4" i="9"/>
  <c r="P44" i="7"/>
  <c r="P8" i="7"/>
  <c r="P6" i="7"/>
  <c r="H17" i="8"/>
  <c r="P8" i="8"/>
  <c r="P27" i="8"/>
  <c r="H15" i="7"/>
  <c r="P9" i="8"/>
  <c r="H20" i="7"/>
  <c r="H10" i="11"/>
  <c r="P26" i="8"/>
  <c r="H10" i="8"/>
  <c r="P28" i="10"/>
  <c r="H37" i="9"/>
  <c r="H42" i="9"/>
  <c r="P40" i="10"/>
  <c r="H33" i="7"/>
  <c r="H23" i="7"/>
  <c r="P39" i="10"/>
  <c r="P40" i="9"/>
  <c r="H41" i="9"/>
  <c r="P22" i="8"/>
  <c r="H22" i="10"/>
  <c r="H30" i="7"/>
  <c r="H28" i="8"/>
  <c r="P39" i="9"/>
  <c r="H7" i="10"/>
  <c r="H16" i="7"/>
  <c r="H23" i="8"/>
  <c r="H5" i="11"/>
  <c r="P37" i="9"/>
  <c r="H23" i="10"/>
  <c r="P44" i="8"/>
  <c r="H35" i="10"/>
  <c r="P14" i="8"/>
  <c r="H45" i="7"/>
  <c r="P21" i="9"/>
  <c r="P17" i="9"/>
  <c r="P15" i="10"/>
  <c r="P27" i="10"/>
  <c r="P37" i="10"/>
  <c r="P10" i="9"/>
  <c r="P35" i="8"/>
  <c r="P43" i="8"/>
  <c r="P45" i="9"/>
  <c r="P35" i="7"/>
  <c r="P19" i="9"/>
  <c r="P7" i="9"/>
  <c r="H40" i="10"/>
  <c r="P45" i="10"/>
  <c r="P14" i="10"/>
  <c r="P21" i="10"/>
  <c r="H23" i="11"/>
  <c r="H24" i="8"/>
  <c r="H33" i="8"/>
  <c r="P42" i="8"/>
  <c r="H37" i="10"/>
  <c r="H19" i="10"/>
  <c r="P13" i="10"/>
  <c r="H19" i="8"/>
  <c r="P35" i="9"/>
  <c r="H8" i="8"/>
  <c r="H26" i="9"/>
  <c r="H42" i="7"/>
  <c r="P31" i="7"/>
  <c r="P23" i="9"/>
  <c r="H10" i="9"/>
  <c r="P34" i="7"/>
  <c r="P28" i="9"/>
  <c r="H6" i="7"/>
  <c r="H4" i="10"/>
  <c r="P21" i="7"/>
  <c r="H37" i="8"/>
  <c r="H38" i="8"/>
  <c r="P25" i="10"/>
  <c r="H16" i="11"/>
  <c r="P39" i="7"/>
  <c r="P11" i="9"/>
  <c r="H25" i="10"/>
  <c r="P4" i="10"/>
  <c r="P5" i="8"/>
  <c r="P10" i="8"/>
  <c r="P40" i="8"/>
  <c r="H13" i="10"/>
  <c r="P30" i="9"/>
  <c r="H13" i="9"/>
  <c r="P46" i="9"/>
  <c r="H6" i="8"/>
  <c r="P25" i="9"/>
  <c r="P20" i="10"/>
  <c r="H27" i="8"/>
  <c r="P36" i="8"/>
  <c r="P42" i="10"/>
  <c r="H24" i="10"/>
  <c r="H27" i="10"/>
  <c r="H22" i="7"/>
  <c r="H6" i="11"/>
  <c r="H33" i="9"/>
  <c r="H20" i="10"/>
  <c r="H9" i="10"/>
  <c r="H39" i="9"/>
  <c r="P6" i="8"/>
  <c r="H4" i="8"/>
  <c r="P16" i="9"/>
  <c r="H47" i="8" l="1"/>
  <c r="P47" i="10"/>
  <c r="H47" i="10"/>
  <c r="H47" i="9"/>
  <c r="H47" i="7"/>
  <c r="H25" i="11"/>
  <c r="P47" i="7"/>
  <c r="P47" i="8"/>
  <c r="P47" i="9"/>
  <c r="H27" i="11"/>
  <c r="D28" i="11" l="1"/>
  <c r="G28" i="11" s="1"/>
</calcChain>
</file>

<file path=xl/sharedStrings.xml><?xml version="1.0" encoding="utf-8"?>
<sst xmlns="http://schemas.openxmlformats.org/spreadsheetml/2006/main" count="167" uniqueCount="52">
  <si>
    <t>EJERCICIOS DE SIMULACIÓN PARA SEGUNDO DEPARTAMENTAL</t>
  </si>
  <si>
    <t>PROBLEMA 1: UN HOTEL DE AEROPUERTO TIENE 100 HABITACIONES. EN UNA NOCHE DETERMINADA TOMA HASTA 105</t>
  </si>
  <si>
    <t>RESERVACIONES, DEBIDO A LA POSIBILIDAD DE QUE ALGUIEN NO SE PRESENTE. LOS REGISTROS PASADOS MUESTRAN QUE EL</t>
  </si>
  <si>
    <t>NUMERO DE RESERVACIONES DIARIAS TIENE UNA DISTRIBUCIÓN UNIFORME EN EL INTERVALO DE ENTEROS (96,105). QUIENES</t>
  </si>
  <si>
    <t>RESERVAN Y NO SE PRESENTAN ESTAN REPRESENTADOS EN LA TABLA I. ELABORE UN SISTEMA DE SIMULACIÓN PARA ENCONTRAR</t>
  </si>
  <si>
    <t>LAS MEDIDAS SIGUIENTES DE DESEMPEÑO DE ESTE SISTEMA DE RESERVACIONES: EL NUMERO ESPERADO DE HABITACIONES</t>
  </si>
  <si>
    <t>UTILIZADAS POR NOCHE Y EL PORCENTAJE DE NOCHES CUANDO SE RECLAMAN MAS DE 100 HABITACIONES.</t>
  </si>
  <si>
    <t>TABLA 1</t>
  </si>
  <si>
    <t>NUMERO DE RESERVACIONES SIN ASISTENCIA</t>
  </si>
  <si>
    <t>PROBABILIDAD</t>
  </si>
  <si>
    <r>
      <t xml:space="preserve">SIMULE UN </t>
    </r>
    <r>
      <rPr>
        <b/>
        <sz val="9"/>
        <color theme="1"/>
        <rFont val="Arial"/>
        <family val="2"/>
      </rPr>
      <t>AÑO</t>
    </r>
    <r>
      <rPr>
        <sz val="9"/>
        <color theme="1"/>
        <rFont val="Arial"/>
        <family val="2"/>
      </rPr>
      <t xml:space="preserve"> DE RESERVACIONES PARA DETERMINAR LAS MEDIDAS DE DESEMPEÑO SOLICITADAS</t>
    </r>
  </si>
  <si>
    <t>1) SISTEMA DE RESERVACIONES DE HOTEL POR CADA NOCHE</t>
  </si>
  <si>
    <t>FDP</t>
  </si>
  <si>
    <t>F(X)</t>
  </si>
  <si>
    <t>0&lt;=RND&lt;=0.1</t>
  </si>
  <si>
    <t>0.1&lt;RND&lt;=0.3</t>
  </si>
  <si>
    <t>0.3&lt;RND&lt;=0.55</t>
  </si>
  <si>
    <t>0.55&lt;RN&lt;=0.85</t>
  </si>
  <si>
    <t>0.85&lt;RN&lt;=0.95</t>
  </si>
  <si>
    <t>0.95&lt;RN&lt;=1</t>
  </si>
  <si>
    <t>DIA</t>
  </si>
  <si>
    <t>RND</t>
  </si>
  <si>
    <t>CANTIDAD</t>
  </si>
  <si>
    <t>RESERV. R.</t>
  </si>
  <si>
    <t>N. DE RESERV. SIN ASISTENCIA</t>
  </si>
  <si>
    <t>PORCENTAJE</t>
  </si>
  <si>
    <t>=</t>
  </si>
  <si>
    <t>Número de Reservaciones:</t>
  </si>
  <si>
    <t>X = A + (B-A)RND</t>
  </si>
  <si>
    <t>A: LIMITE INFERIOR</t>
  </si>
  <si>
    <t>B:LIMITE SUPERIOR</t>
  </si>
  <si>
    <t>RND: NÚMERO ALEATORIO</t>
  </si>
  <si>
    <t>X: NÚMERO DE RESERVACIONES</t>
  </si>
  <si>
    <t>2) SEA X: NUMERO DE RESERVACIONES SIN ASISTENCIA</t>
  </si>
  <si>
    <t>3) X: 0, 1, 2, 3, 4, 5</t>
  </si>
  <si>
    <t>X</t>
  </si>
  <si>
    <t>TRANS INV X</t>
  </si>
  <si>
    <t>OCUPADAS</t>
  </si>
  <si>
    <t xml:space="preserve"> NO OCUPADAS</t>
  </si>
  <si>
    <t>NOCHES RECLM.</t>
  </si>
  <si>
    <t>SUMA NOCHES RECLAMADAS=</t>
  </si>
  <si>
    <t>CORRIDA DE SIMULACIÓN</t>
  </si>
  <si>
    <t xml:space="preserve">NOCHES CUANDO SE RECLAMAN MAS DE 100 HABITACIONES= </t>
  </si>
  <si>
    <t>%</t>
  </si>
  <si>
    <t>NOMBRES:</t>
  </si>
  <si>
    <t>GARCIA TEJEDA CARLOS EDUARDO</t>
  </si>
  <si>
    <t>PEREZ SOLIS ANA LAURA</t>
  </si>
  <si>
    <t>VILCHIS DIAZ DANIEL</t>
  </si>
  <si>
    <t>SECUENCIA:</t>
  </si>
  <si>
    <t>3CM50</t>
  </si>
  <si>
    <t>MATERIA:</t>
  </si>
  <si>
    <t>SIMULACIÓN DE SISTEMAS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</si>
</sst>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u/>
      <sz val="9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3" borderId="0" xfId="0" applyFont="1" applyFill="1" applyAlignment="1"/>
    <xf numFmtId="0" fontId="3" fillId="4" borderId="2" xfId="0" applyFont="1" applyFill="1" applyBorder="1" applyAlignment="1"/>
    <xf numFmtId="0" fontId="3" fillId="4" borderId="3" xfId="0" applyFont="1" applyFill="1" applyBorder="1" applyAlignment="1"/>
    <xf numFmtId="0" fontId="3" fillId="4" borderId="4" xfId="0" applyFont="1" applyFill="1" applyBorder="1" applyAlignment="1"/>
    <xf numFmtId="0" fontId="3" fillId="5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5" borderId="0" xfId="0" applyFont="1" applyFill="1"/>
    <xf numFmtId="0" fontId="3" fillId="6" borderId="1" xfId="0" applyFont="1" applyFill="1" applyBorder="1"/>
    <xf numFmtId="0" fontId="3" fillId="6" borderId="0" xfId="0" applyFont="1" applyFill="1"/>
    <xf numFmtId="0" fontId="5" fillId="9" borderId="5" xfId="0" applyFont="1" applyFill="1" applyBorder="1"/>
    <xf numFmtId="0" fontId="0" fillId="9" borderId="6" xfId="0" applyFill="1" applyBorder="1"/>
    <xf numFmtId="0" fontId="3" fillId="9" borderId="7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wrapText="1"/>
    </xf>
    <xf numFmtId="0" fontId="0" fillId="0" borderId="0" xfId="0" applyFont="1"/>
    <xf numFmtId="0" fontId="7" fillId="9" borderId="8" xfId="0" applyFont="1" applyFill="1" applyBorder="1"/>
    <xf numFmtId="0" fontId="7" fillId="9" borderId="9" xfId="0" applyFont="1" applyFill="1" applyBorder="1"/>
    <xf numFmtId="0" fontId="7" fillId="9" borderId="10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0" fontId="3" fillId="7" borderId="1" xfId="0" applyFont="1" applyFill="1" applyBorder="1"/>
    <xf numFmtId="0" fontId="7" fillId="8" borderId="0" xfId="0" applyFont="1" applyFill="1"/>
    <xf numFmtId="0" fontId="8" fillId="5" borderId="8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2" fillId="7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3" fillId="5" borderId="1" xfId="0" applyFont="1" applyFill="1" applyBorder="1" applyAlignment="1">
      <alignment horizontal="center" wrapText="1"/>
    </xf>
    <xf numFmtId="0" fontId="4" fillId="5" borderId="1" xfId="0" applyFont="1" applyFill="1" applyBorder="1" applyAlignment="1">
      <alignment horizontal="center"/>
    </xf>
    <xf numFmtId="0" fontId="6" fillId="8" borderId="6" xfId="0" applyFont="1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33"/>
  <sheetViews>
    <sheetView topLeftCell="D1" workbookViewId="0">
      <selection activeCell="J20" sqref="J20:M24"/>
    </sheetView>
  </sheetViews>
  <sheetFormatPr baseColWidth="10" defaultRowHeight="15" x14ac:dyDescent="0.25"/>
  <cols>
    <col min="1" max="1" width="41.42578125" bestFit="1" customWidth="1"/>
    <col min="2" max="2" width="14.140625" bestFit="1" customWidth="1"/>
    <col min="4" max="4" width="27" bestFit="1" customWidth="1"/>
    <col min="5" max="5" width="14.140625" bestFit="1" customWidth="1"/>
    <col min="7" max="7" width="11.140625" bestFit="1" customWidth="1"/>
    <col min="8" max="8" width="10.7109375" bestFit="1" customWidth="1"/>
    <col min="9" max="9" width="8.5703125" customWidth="1"/>
    <col min="10" max="10" width="14.28515625" customWidth="1"/>
    <col min="11" max="11" width="15.42578125" customWidth="1"/>
    <col min="12" max="12" width="17.7109375" customWidth="1"/>
    <col min="13" max="13" width="13.42578125" customWidth="1"/>
    <col min="14" max="16" width="11.140625" bestFit="1" customWidth="1"/>
    <col min="17" max="17" width="9.85546875" bestFit="1" customWidth="1"/>
    <col min="20" max="21" width="4" bestFit="1" customWidth="1"/>
    <col min="22" max="25" width="5" bestFit="1" customWidth="1"/>
  </cols>
  <sheetData>
    <row r="1" spans="1:14" ht="20.25" x14ac:dyDescent="0.3">
      <c r="A1" s="27" t="s">
        <v>0</v>
      </c>
      <c r="B1" s="27"/>
      <c r="C1" s="27"/>
      <c r="D1" s="27"/>
      <c r="E1" s="27"/>
      <c r="F1" s="27"/>
    </row>
    <row r="2" spans="1:14" x14ac:dyDescent="0.25">
      <c r="H2" s="8" t="s">
        <v>35</v>
      </c>
      <c r="I2" s="8">
        <v>0</v>
      </c>
      <c r="J2" s="8">
        <v>1</v>
      </c>
      <c r="K2" s="8">
        <v>2</v>
      </c>
      <c r="L2" s="8">
        <v>3</v>
      </c>
      <c r="M2" s="8">
        <v>4</v>
      </c>
      <c r="N2" s="8">
        <v>5</v>
      </c>
    </row>
    <row r="3" spans="1:14" x14ac:dyDescent="0.25">
      <c r="A3" s="1" t="s">
        <v>1</v>
      </c>
      <c r="B3" s="1"/>
      <c r="C3" s="1"/>
      <c r="D3" s="1"/>
      <c r="E3" s="1"/>
      <c r="F3" s="1"/>
      <c r="H3" s="8" t="s">
        <v>12</v>
      </c>
      <c r="I3" s="8">
        <v>0.1</v>
      </c>
      <c r="J3" s="8">
        <v>0.2</v>
      </c>
      <c r="K3" s="8">
        <v>0.25</v>
      </c>
      <c r="L3" s="8">
        <v>0.3</v>
      </c>
      <c r="M3" s="8">
        <v>0.1</v>
      </c>
      <c r="N3" s="8">
        <v>0.05</v>
      </c>
    </row>
    <row r="4" spans="1:14" x14ac:dyDescent="0.25">
      <c r="A4" s="1" t="s">
        <v>2</v>
      </c>
      <c r="B4" s="1"/>
      <c r="C4" s="1"/>
      <c r="D4" s="1"/>
      <c r="E4" s="1"/>
      <c r="F4" s="1"/>
      <c r="H4" s="8" t="s">
        <v>13</v>
      </c>
      <c r="I4" s="8">
        <v>0.1</v>
      </c>
      <c r="J4" s="8">
        <v>0.3</v>
      </c>
      <c r="K4" s="8">
        <v>0.55000000000000004</v>
      </c>
      <c r="L4" s="8">
        <v>0.85</v>
      </c>
      <c r="M4" s="8">
        <v>0.95</v>
      </c>
      <c r="N4" s="8">
        <v>1</v>
      </c>
    </row>
    <row r="5" spans="1:14" x14ac:dyDescent="0.25">
      <c r="A5" s="1" t="s">
        <v>3</v>
      </c>
      <c r="B5" s="1"/>
      <c r="C5" s="1"/>
      <c r="D5" s="1"/>
      <c r="E5" s="1"/>
      <c r="F5" s="1"/>
      <c r="H5" s="9"/>
      <c r="I5" s="9"/>
      <c r="J5" s="9"/>
      <c r="K5" s="9"/>
      <c r="L5" s="9"/>
      <c r="M5" s="9"/>
      <c r="N5" s="9"/>
    </row>
    <row r="6" spans="1:14" x14ac:dyDescent="0.25">
      <c r="A6" s="1" t="s">
        <v>4</v>
      </c>
      <c r="B6" s="1"/>
      <c r="C6" s="1"/>
      <c r="D6" s="1"/>
      <c r="E6" s="1"/>
      <c r="F6" s="1"/>
      <c r="H6" s="8" t="s">
        <v>36</v>
      </c>
      <c r="I6" s="8">
        <v>0</v>
      </c>
      <c r="J6" s="8">
        <v>1</v>
      </c>
      <c r="K6" s="8">
        <v>2</v>
      </c>
      <c r="L6" s="8">
        <v>3</v>
      </c>
      <c r="M6" s="8">
        <v>4</v>
      </c>
      <c r="N6" s="8">
        <v>5</v>
      </c>
    </row>
    <row r="7" spans="1:14" x14ac:dyDescent="0.25">
      <c r="A7" s="1" t="s">
        <v>5</v>
      </c>
      <c r="B7" s="1"/>
      <c r="C7" s="1"/>
      <c r="D7" s="1"/>
      <c r="E7" s="1"/>
      <c r="F7" s="1"/>
      <c r="H7" s="8"/>
      <c r="I7" s="8" t="s">
        <v>14</v>
      </c>
      <c r="J7" s="8" t="s">
        <v>15</v>
      </c>
      <c r="K7" s="8" t="s">
        <v>16</v>
      </c>
      <c r="L7" s="8" t="s">
        <v>17</v>
      </c>
      <c r="M7" s="8" t="s">
        <v>18</v>
      </c>
      <c r="N7" s="8" t="s">
        <v>19</v>
      </c>
    </row>
    <row r="8" spans="1:14" x14ac:dyDescent="0.25">
      <c r="A8" s="1" t="s">
        <v>6</v>
      </c>
      <c r="B8" s="1"/>
      <c r="C8" s="1"/>
      <c r="D8" s="1"/>
      <c r="E8" s="1"/>
      <c r="F8" s="1"/>
    </row>
    <row r="10" spans="1:14" x14ac:dyDescent="0.25">
      <c r="A10" s="25" t="s">
        <v>7</v>
      </c>
      <c r="B10" s="25"/>
      <c r="D10" s="2" t="s">
        <v>27</v>
      </c>
    </row>
    <row r="11" spans="1:14" x14ac:dyDescent="0.25">
      <c r="A11" s="6" t="s">
        <v>8</v>
      </c>
      <c r="B11" s="6" t="s">
        <v>9</v>
      </c>
      <c r="D11" s="3"/>
    </row>
    <row r="12" spans="1:14" x14ac:dyDescent="0.25">
      <c r="A12" s="6">
        <v>0</v>
      </c>
      <c r="B12" s="6">
        <v>0.1</v>
      </c>
      <c r="D12" s="3" t="s">
        <v>28</v>
      </c>
    </row>
    <row r="13" spans="1:14" x14ac:dyDescent="0.25">
      <c r="A13" s="6">
        <v>1</v>
      </c>
      <c r="B13" s="6">
        <v>0.2</v>
      </c>
      <c r="D13" s="3"/>
    </row>
    <row r="14" spans="1:14" x14ac:dyDescent="0.25">
      <c r="A14" s="6">
        <v>2</v>
      </c>
      <c r="B14" s="6">
        <v>0.25</v>
      </c>
      <c r="D14" s="3" t="s">
        <v>32</v>
      </c>
    </row>
    <row r="15" spans="1:14" x14ac:dyDescent="0.25">
      <c r="A15" s="6">
        <v>3</v>
      </c>
      <c r="B15" s="6">
        <v>0.3</v>
      </c>
      <c r="D15" s="3" t="s">
        <v>29</v>
      </c>
    </row>
    <row r="16" spans="1:14" x14ac:dyDescent="0.25">
      <c r="A16" s="6">
        <v>4</v>
      </c>
      <c r="B16" s="6">
        <v>0.1</v>
      </c>
      <c r="D16" s="3" t="s">
        <v>30</v>
      </c>
    </row>
    <row r="17" spans="1:13" x14ac:dyDescent="0.25">
      <c r="A17" s="6">
        <v>5</v>
      </c>
      <c r="B17" s="6">
        <v>0.05</v>
      </c>
      <c r="D17" s="4" t="s">
        <v>31</v>
      </c>
    </row>
    <row r="20" spans="1:13" ht="15.75" x14ac:dyDescent="0.25">
      <c r="J20" s="18" t="s">
        <v>44</v>
      </c>
      <c r="K20" s="22" t="s">
        <v>45</v>
      </c>
      <c r="L20" s="23"/>
      <c r="M20" s="24"/>
    </row>
    <row r="21" spans="1:13" ht="15.75" x14ac:dyDescent="0.25">
      <c r="D21" s="14"/>
      <c r="J21" s="19"/>
      <c r="K21" s="22" t="s">
        <v>46</v>
      </c>
      <c r="L21" s="23"/>
      <c r="M21" s="24"/>
    </row>
    <row r="22" spans="1:13" ht="15.75" x14ac:dyDescent="0.25">
      <c r="J22" s="19"/>
      <c r="K22" s="22" t="s">
        <v>47</v>
      </c>
      <c r="L22" s="23"/>
      <c r="M22" s="24"/>
    </row>
    <row r="23" spans="1:13" ht="15.75" x14ac:dyDescent="0.25">
      <c r="A23" s="26" t="s">
        <v>10</v>
      </c>
      <c r="B23" s="26"/>
      <c r="C23" s="26"/>
      <c r="D23" s="26"/>
      <c r="J23" s="18" t="s">
        <v>48</v>
      </c>
      <c r="K23" s="22" t="s">
        <v>49</v>
      </c>
      <c r="L23" s="23"/>
      <c r="M23" s="24"/>
    </row>
    <row r="24" spans="1:13" ht="15.75" x14ac:dyDescent="0.25">
      <c r="J24" s="18" t="s">
        <v>50</v>
      </c>
      <c r="K24" s="22" t="s">
        <v>51</v>
      </c>
      <c r="L24" s="23"/>
      <c r="M24" s="24"/>
    </row>
    <row r="25" spans="1:13" x14ac:dyDescent="0.25">
      <c r="A25" s="7" t="s">
        <v>11</v>
      </c>
      <c r="B25" s="7"/>
      <c r="C25" s="7"/>
      <c r="D25" s="7"/>
      <c r="E25" s="7"/>
    </row>
    <row r="26" spans="1:13" x14ac:dyDescent="0.25">
      <c r="A26" s="7" t="s">
        <v>33</v>
      </c>
      <c r="B26" s="7"/>
      <c r="C26" s="7"/>
      <c r="D26" s="7"/>
      <c r="E26" s="7"/>
    </row>
    <row r="27" spans="1:13" x14ac:dyDescent="0.25">
      <c r="A27" s="7" t="s">
        <v>34</v>
      </c>
      <c r="B27" s="7"/>
      <c r="C27" s="7"/>
    </row>
    <row r="29" spans="1:13" ht="15.75" x14ac:dyDescent="0.25">
      <c r="A29" s="18" t="s">
        <v>44</v>
      </c>
      <c r="B29" s="22" t="s">
        <v>45</v>
      </c>
      <c r="C29" s="23"/>
      <c r="D29" s="24"/>
    </row>
    <row r="30" spans="1:13" ht="15.75" x14ac:dyDescent="0.25">
      <c r="A30" s="19"/>
      <c r="B30" s="22" t="s">
        <v>46</v>
      </c>
      <c r="C30" s="23"/>
      <c r="D30" s="24"/>
    </row>
    <row r="31" spans="1:13" ht="15.75" x14ac:dyDescent="0.25">
      <c r="A31" s="19"/>
      <c r="B31" s="22" t="s">
        <v>47</v>
      </c>
      <c r="C31" s="23"/>
      <c r="D31" s="24"/>
    </row>
    <row r="32" spans="1:13" ht="15.75" x14ac:dyDescent="0.25">
      <c r="A32" s="18" t="s">
        <v>48</v>
      </c>
      <c r="B32" s="22" t="s">
        <v>49</v>
      </c>
      <c r="C32" s="23"/>
      <c r="D32" s="24"/>
    </row>
    <row r="33" spans="1:4" ht="15.75" x14ac:dyDescent="0.25">
      <c r="A33" s="18" t="s">
        <v>50</v>
      </c>
      <c r="B33" s="22" t="s">
        <v>51</v>
      </c>
      <c r="C33" s="23"/>
      <c r="D33" s="24"/>
    </row>
  </sheetData>
  <mergeCells count="13">
    <mergeCell ref="B33:D33"/>
    <mergeCell ref="B32:D32"/>
    <mergeCell ref="A10:B10"/>
    <mergeCell ref="A23:D23"/>
    <mergeCell ref="A1:F1"/>
    <mergeCell ref="B30:D30"/>
    <mergeCell ref="B31:D31"/>
    <mergeCell ref="B29:D29"/>
    <mergeCell ref="K20:M20"/>
    <mergeCell ref="K21:M21"/>
    <mergeCell ref="K22:M22"/>
    <mergeCell ref="K23:M23"/>
    <mergeCell ref="K24:M24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7"/>
  <sheetViews>
    <sheetView topLeftCell="A19" workbookViewId="0">
      <selection activeCell="P47" sqref="P47"/>
    </sheetView>
  </sheetViews>
  <sheetFormatPr baseColWidth="10" defaultRowHeight="15" x14ac:dyDescent="0.25"/>
  <cols>
    <col min="1" max="1" width="3.7109375" bestFit="1" customWidth="1"/>
    <col min="2" max="2" width="10.42578125" bestFit="1" customWidth="1"/>
    <col min="3" max="3" width="8.85546875" bestFit="1" customWidth="1"/>
    <col min="4" max="4" width="14.42578125" customWidth="1"/>
    <col min="5" max="5" width="8.7109375" bestFit="1" customWidth="1"/>
    <col min="6" max="6" width="15.28515625" customWidth="1"/>
    <col min="7" max="7" width="13.5703125" customWidth="1"/>
    <col min="8" max="8" width="14.42578125" customWidth="1"/>
    <col min="9" max="9" width="3.7109375" bestFit="1" customWidth="1"/>
    <col min="10" max="10" width="10.42578125" bestFit="1" customWidth="1"/>
    <col min="11" max="11" width="8.85546875" bestFit="1" customWidth="1"/>
    <col min="12" max="12" width="14.42578125" customWidth="1"/>
    <col min="13" max="13" width="8.7109375" bestFit="1" customWidth="1"/>
    <col min="14" max="14" width="15.28515625" customWidth="1"/>
    <col min="15" max="15" width="13.5703125" customWidth="1"/>
    <col min="16" max="16" width="14.42578125" customWidth="1"/>
  </cols>
  <sheetData>
    <row r="1" spans="1:16" x14ac:dyDescent="0.25">
      <c r="A1" s="30" t="s">
        <v>41</v>
      </c>
      <c r="B1" s="30"/>
      <c r="C1" s="30"/>
      <c r="D1" s="30"/>
      <c r="E1" s="30"/>
      <c r="F1" s="30"/>
      <c r="G1" s="30"/>
      <c r="H1" s="30"/>
      <c r="I1" s="30" t="s">
        <v>41</v>
      </c>
      <c r="J1" s="30"/>
      <c r="K1" s="30"/>
      <c r="L1" s="30"/>
      <c r="M1" s="30"/>
      <c r="N1" s="30"/>
      <c r="O1" s="30"/>
      <c r="P1" s="30"/>
    </row>
    <row r="2" spans="1:16" ht="15" customHeight="1" x14ac:dyDescent="0.25">
      <c r="A2" s="5" t="s">
        <v>20</v>
      </c>
      <c r="B2" s="28" t="s">
        <v>23</v>
      </c>
      <c r="C2" s="28"/>
      <c r="D2" s="29" t="s">
        <v>24</v>
      </c>
      <c r="E2" s="29"/>
      <c r="F2" s="13" t="s">
        <v>37</v>
      </c>
      <c r="G2" s="13" t="s">
        <v>38</v>
      </c>
      <c r="H2" s="13" t="s">
        <v>39</v>
      </c>
      <c r="I2" s="5" t="s">
        <v>20</v>
      </c>
      <c r="J2" s="28" t="s">
        <v>23</v>
      </c>
      <c r="K2" s="28"/>
      <c r="L2" s="29" t="s">
        <v>24</v>
      </c>
      <c r="M2" s="29"/>
      <c r="N2" s="13" t="s">
        <v>37</v>
      </c>
      <c r="O2" s="13" t="s">
        <v>38</v>
      </c>
      <c r="P2" s="13" t="s">
        <v>39</v>
      </c>
    </row>
    <row r="3" spans="1:16" x14ac:dyDescent="0.25">
      <c r="A3" s="5"/>
      <c r="B3" s="5" t="s">
        <v>21</v>
      </c>
      <c r="C3" s="5" t="s">
        <v>22</v>
      </c>
      <c r="D3" s="5" t="s">
        <v>21</v>
      </c>
      <c r="E3" s="5" t="s">
        <v>22</v>
      </c>
      <c r="F3" s="5"/>
      <c r="G3" s="5"/>
      <c r="H3" s="5"/>
      <c r="I3" s="5"/>
      <c r="J3" s="5" t="s">
        <v>21</v>
      </c>
      <c r="K3" s="5" t="s">
        <v>22</v>
      </c>
      <c r="L3" s="5" t="s">
        <v>21</v>
      </c>
      <c r="M3" s="5" t="s">
        <v>22</v>
      </c>
      <c r="N3" s="5"/>
      <c r="O3" s="5"/>
      <c r="P3" s="5"/>
    </row>
    <row r="4" spans="1:16" x14ac:dyDescent="0.25">
      <c r="A4" s="5">
        <v>1</v>
      </c>
      <c r="B4" s="5">
        <f t="shared" ref="B4:B46" ca="1" si="0">RAND()</f>
        <v>0.96890869685899739</v>
      </c>
      <c r="C4" s="5">
        <f ca="1">RESERVACIONES(B4)</f>
        <v>105</v>
      </c>
      <c r="D4" s="5">
        <f ca="1">RAND()</f>
        <v>0.91379306130500837</v>
      </c>
      <c r="E4" s="5">
        <f ca="1">SNASISTENCIA(D4)</f>
        <v>4</v>
      </c>
      <c r="F4" s="5">
        <f ca="1">C4-E4</f>
        <v>101</v>
      </c>
      <c r="G4" s="5">
        <f t="shared" ref="G4:G46" ca="1" si="1">100-F4</f>
        <v>-1</v>
      </c>
      <c r="H4" s="5">
        <f ca="1">RECLAMACIONES(G4)</f>
        <v>1</v>
      </c>
      <c r="I4" s="5">
        <v>44</v>
      </c>
      <c r="J4" s="5">
        <f t="shared" ref="J4:J46" ca="1" si="2">RAND()</f>
        <v>0.23175313753334137</v>
      </c>
      <c r="K4" s="5">
        <f ca="1">RESERVACIONES(J4)</f>
        <v>98</v>
      </c>
      <c r="L4" s="5">
        <f ca="1">RAND()</f>
        <v>0.46182344890243154</v>
      </c>
      <c r="M4" s="5">
        <f ca="1">SNASISTENCIA(L4)</f>
        <v>2</v>
      </c>
      <c r="N4" s="5">
        <f ca="1">K4-M4</f>
        <v>96</v>
      </c>
      <c r="O4" s="5">
        <f t="shared" ref="O4:O46" ca="1" si="3">100-N4</f>
        <v>4</v>
      </c>
      <c r="P4" s="5">
        <f ca="1">RECLAMACIONES(O4)</f>
        <v>0</v>
      </c>
    </row>
    <row r="5" spans="1:16" x14ac:dyDescent="0.25">
      <c r="A5" s="5">
        <v>2</v>
      </c>
      <c r="B5" s="5">
        <f t="shared" ca="1" si="0"/>
        <v>0.10025495064106948</v>
      </c>
      <c r="C5" s="5">
        <f t="shared" ref="C5:C46" ca="1" si="4">RESERVACIONES(B5)</f>
        <v>97</v>
      </c>
      <c r="D5" s="5">
        <f t="shared" ref="D5:D46" ca="1" si="5">RAND()</f>
        <v>0.96083595090708129</v>
      </c>
      <c r="E5" s="5">
        <f t="shared" ref="E5:E46" ca="1" si="6">SNASISTENCIA(D5)</f>
        <v>5</v>
      </c>
      <c r="F5" s="5">
        <f t="shared" ref="F5:F46" ca="1" si="7">C5-E5</f>
        <v>92</v>
      </c>
      <c r="G5" s="5">
        <f t="shared" ca="1" si="1"/>
        <v>8</v>
      </c>
      <c r="H5" s="5">
        <f t="shared" ref="H5:H46" ca="1" si="8">RECLAMACIONES(G5)</f>
        <v>0</v>
      </c>
      <c r="I5" s="5">
        <v>45</v>
      </c>
      <c r="J5" s="5">
        <f t="shared" ca="1" si="2"/>
        <v>0.95379726448316904</v>
      </c>
      <c r="K5" s="5">
        <f t="shared" ref="K5:K45" ca="1" si="9">RESERVACIONES(J5)</f>
        <v>105</v>
      </c>
      <c r="L5" s="5">
        <f t="shared" ref="L5:L46" ca="1" si="10">RAND()</f>
        <v>0.20070495824462786</v>
      </c>
      <c r="M5" s="5">
        <f t="shared" ref="M5:M46" ca="1" si="11">SNASISTENCIA(L5)</f>
        <v>1</v>
      </c>
      <c r="N5" s="5">
        <f t="shared" ref="N5:N46" ca="1" si="12">K5-M5</f>
        <v>104</v>
      </c>
      <c r="O5" s="5">
        <f t="shared" ca="1" si="3"/>
        <v>-4</v>
      </c>
      <c r="P5" s="5">
        <f t="shared" ref="P5:P46" ca="1" si="13">RECLAMACIONES(O5)</f>
        <v>1</v>
      </c>
    </row>
    <row r="6" spans="1:16" x14ac:dyDescent="0.25">
      <c r="A6" s="5">
        <v>3</v>
      </c>
      <c r="B6" s="5">
        <f t="shared" ca="1" si="0"/>
        <v>0.58005795313794117</v>
      </c>
      <c r="C6" s="5">
        <f t="shared" ca="1" si="4"/>
        <v>101</v>
      </c>
      <c r="D6" s="5">
        <f t="shared" ca="1" si="5"/>
        <v>0.22656453751745864</v>
      </c>
      <c r="E6" s="5">
        <f t="shared" ca="1" si="6"/>
        <v>1</v>
      </c>
      <c r="F6" s="5">
        <f t="shared" ca="1" si="7"/>
        <v>100</v>
      </c>
      <c r="G6" s="5">
        <f t="shared" ca="1" si="1"/>
        <v>0</v>
      </c>
      <c r="H6" s="5">
        <f t="shared" ca="1" si="8"/>
        <v>0</v>
      </c>
      <c r="I6" s="5">
        <v>46</v>
      </c>
      <c r="J6" s="5">
        <f t="shared" ca="1" si="2"/>
        <v>0.681602837863311</v>
      </c>
      <c r="K6" s="5">
        <f t="shared" ca="1" si="9"/>
        <v>102</v>
      </c>
      <c r="L6" s="5">
        <f t="shared" ca="1" si="10"/>
        <v>0.21756406485859159</v>
      </c>
      <c r="M6" s="5">
        <f t="shared" ca="1" si="11"/>
        <v>1</v>
      </c>
      <c r="N6" s="5">
        <f t="shared" ca="1" si="12"/>
        <v>101</v>
      </c>
      <c r="O6" s="5">
        <f t="shared" ca="1" si="3"/>
        <v>-1</v>
      </c>
      <c r="P6" s="5">
        <f t="shared" ca="1" si="13"/>
        <v>1</v>
      </c>
    </row>
    <row r="7" spans="1:16" x14ac:dyDescent="0.25">
      <c r="A7" s="5">
        <v>4</v>
      </c>
      <c r="B7" s="5">
        <f t="shared" ca="1" si="0"/>
        <v>0.99657212358760738</v>
      </c>
      <c r="C7" s="5">
        <f t="shared" ca="1" si="4"/>
        <v>105</v>
      </c>
      <c r="D7" s="5">
        <f t="shared" ca="1" si="5"/>
        <v>0.94411170676481704</v>
      </c>
      <c r="E7" s="5">
        <f t="shared" ca="1" si="6"/>
        <v>4</v>
      </c>
      <c r="F7" s="5">
        <f t="shared" ca="1" si="7"/>
        <v>101</v>
      </c>
      <c r="G7" s="5">
        <f t="shared" ca="1" si="1"/>
        <v>-1</v>
      </c>
      <c r="H7" s="5">
        <f t="shared" ca="1" si="8"/>
        <v>1</v>
      </c>
      <c r="I7" s="5">
        <v>47</v>
      </c>
      <c r="J7" s="5">
        <f t="shared" ca="1" si="2"/>
        <v>0.70528579194840857</v>
      </c>
      <c r="K7" s="5">
        <f t="shared" ca="1" si="9"/>
        <v>102</v>
      </c>
      <c r="L7" s="5">
        <f t="shared" ca="1" si="10"/>
        <v>0.54840692204549968</v>
      </c>
      <c r="M7" s="5">
        <f t="shared" ca="1" si="11"/>
        <v>2</v>
      </c>
      <c r="N7" s="5">
        <f t="shared" ca="1" si="12"/>
        <v>100</v>
      </c>
      <c r="O7" s="5">
        <f t="shared" ca="1" si="3"/>
        <v>0</v>
      </c>
      <c r="P7" s="5">
        <f t="shared" ca="1" si="13"/>
        <v>0</v>
      </c>
    </row>
    <row r="8" spans="1:16" x14ac:dyDescent="0.25">
      <c r="A8" s="5">
        <v>5</v>
      </c>
      <c r="B8" s="5">
        <f t="shared" ca="1" si="0"/>
        <v>0.74046534146724274</v>
      </c>
      <c r="C8" s="5">
        <f t="shared" ca="1" si="4"/>
        <v>103</v>
      </c>
      <c r="D8" s="5">
        <f t="shared" ca="1" si="5"/>
        <v>0.38068541892839658</v>
      </c>
      <c r="E8" s="5">
        <f t="shared" ca="1" si="6"/>
        <v>2</v>
      </c>
      <c r="F8" s="5">
        <f t="shared" ca="1" si="7"/>
        <v>101</v>
      </c>
      <c r="G8" s="5">
        <f t="shared" ca="1" si="1"/>
        <v>-1</v>
      </c>
      <c r="H8" s="5">
        <f t="shared" ca="1" si="8"/>
        <v>1</v>
      </c>
      <c r="I8" s="5">
        <v>48</v>
      </c>
      <c r="J8" s="5">
        <f t="shared" ca="1" si="2"/>
        <v>0.19958579773184471</v>
      </c>
      <c r="K8" s="5">
        <f t="shared" ca="1" si="9"/>
        <v>98</v>
      </c>
      <c r="L8" s="5">
        <f t="shared" ca="1" si="10"/>
        <v>0.78160424003247675</v>
      </c>
      <c r="M8" s="5">
        <f t="shared" ca="1" si="11"/>
        <v>3</v>
      </c>
      <c r="N8" s="5">
        <f t="shared" ca="1" si="12"/>
        <v>95</v>
      </c>
      <c r="O8" s="5">
        <f t="shared" ca="1" si="3"/>
        <v>5</v>
      </c>
      <c r="P8" s="5">
        <f t="shared" ca="1" si="13"/>
        <v>0</v>
      </c>
    </row>
    <row r="9" spans="1:16" x14ac:dyDescent="0.25">
      <c r="A9" s="5">
        <v>6</v>
      </c>
      <c r="B9" s="5">
        <f t="shared" ca="1" si="0"/>
        <v>0.98256508575494139</v>
      </c>
      <c r="C9" s="5">
        <f t="shared" ca="1" si="4"/>
        <v>105</v>
      </c>
      <c r="D9" s="5">
        <f t="shared" ca="1" si="5"/>
        <v>0.56456263129588569</v>
      </c>
      <c r="E9" s="5">
        <f t="shared" ca="1" si="6"/>
        <v>3</v>
      </c>
      <c r="F9" s="5">
        <f t="shared" ca="1" si="7"/>
        <v>102</v>
      </c>
      <c r="G9" s="5">
        <f t="shared" ca="1" si="1"/>
        <v>-2</v>
      </c>
      <c r="H9" s="5">
        <f t="shared" ca="1" si="8"/>
        <v>1</v>
      </c>
      <c r="I9" s="5">
        <v>49</v>
      </c>
      <c r="J9" s="5">
        <f t="shared" ca="1" si="2"/>
        <v>0.44025833504663114</v>
      </c>
      <c r="K9" s="5">
        <f t="shared" ca="1" si="9"/>
        <v>100</v>
      </c>
      <c r="L9" s="5">
        <f t="shared" ca="1" si="10"/>
        <v>0.10583261953531542</v>
      </c>
      <c r="M9" s="5">
        <f t="shared" ca="1" si="11"/>
        <v>1</v>
      </c>
      <c r="N9" s="5">
        <f t="shared" ca="1" si="12"/>
        <v>99</v>
      </c>
      <c r="O9" s="5">
        <f t="shared" ca="1" si="3"/>
        <v>1</v>
      </c>
      <c r="P9" s="5">
        <f t="shared" ca="1" si="13"/>
        <v>0</v>
      </c>
    </row>
    <row r="10" spans="1:16" x14ac:dyDescent="0.25">
      <c r="A10" s="5">
        <v>7</v>
      </c>
      <c r="B10" s="5">
        <f t="shared" ca="1" si="0"/>
        <v>0.23727752364332766</v>
      </c>
      <c r="C10" s="5">
        <f t="shared" ca="1" si="4"/>
        <v>98</v>
      </c>
      <c r="D10" s="5">
        <f t="shared" ca="1" si="5"/>
        <v>0.65033814874698515</v>
      </c>
      <c r="E10" s="5">
        <f t="shared" ca="1" si="6"/>
        <v>3</v>
      </c>
      <c r="F10" s="5">
        <f t="shared" ca="1" si="7"/>
        <v>95</v>
      </c>
      <c r="G10" s="5">
        <f t="shared" ca="1" si="1"/>
        <v>5</v>
      </c>
      <c r="H10" s="5">
        <f t="shared" ca="1" si="8"/>
        <v>0</v>
      </c>
      <c r="I10" s="5">
        <v>50</v>
      </c>
      <c r="J10" s="5">
        <f t="shared" ca="1" si="2"/>
        <v>0.36887909778236128</v>
      </c>
      <c r="K10" s="5">
        <f t="shared" ca="1" si="9"/>
        <v>99</v>
      </c>
      <c r="L10" s="5">
        <f t="shared" ca="1" si="10"/>
        <v>0.16688611417778776</v>
      </c>
      <c r="M10" s="5">
        <f t="shared" ca="1" si="11"/>
        <v>1</v>
      </c>
      <c r="N10" s="5">
        <f t="shared" ca="1" si="12"/>
        <v>98</v>
      </c>
      <c r="O10" s="5">
        <f t="shared" ca="1" si="3"/>
        <v>2</v>
      </c>
      <c r="P10" s="5">
        <f t="shared" ca="1" si="13"/>
        <v>0</v>
      </c>
    </row>
    <row r="11" spans="1:16" x14ac:dyDescent="0.25">
      <c r="A11" s="5">
        <v>8</v>
      </c>
      <c r="B11" s="5">
        <f t="shared" ca="1" si="0"/>
        <v>0.94650541412001943</v>
      </c>
      <c r="C11" s="5">
        <f t="shared" ca="1" si="4"/>
        <v>105</v>
      </c>
      <c r="D11" s="5">
        <f t="shared" ca="1" si="5"/>
        <v>0.6371401796051136</v>
      </c>
      <c r="E11" s="5">
        <f t="shared" ca="1" si="6"/>
        <v>3</v>
      </c>
      <c r="F11" s="5">
        <f t="shared" ca="1" si="7"/>
        <v>102</v>
      </c>
      <c r="G11" s="5">
        <f t="shared" ca="1" si="1"/>
        <v>-2</v>
      </c>
      <c r="H11" s="5">
        <f t="shared" ca="1" si="8"/>
        <v>1</v>
      </c>
      <c r="I11" s="5">
        <v>51</v>
      </c>
      <c r="J11" s="5">
        <f t="shared" ca="1" si="2"/>
        <v>0.43657429300810191</v>
      </c>
      <c r="K11" s="5">
        <f t="shared" ca="1" si="9"/>
        <v>100</v>
      </c>
      <c r="L11" s="5">
        <f t="shared" ca="1" si="10"/>
        <v>0.6717318010595954</v>
      </c>
      <c r="M11" s="5">
        <f t="shared" ca="1" si="11"/>
        <v>3</v>
      </c>
      <c r="N11" s="5">
        <f t="shared" ca="1" si="12"/>
        <v>97</v>
      </c>
      <c r="O11" s="5">
        <f t="shared" ca="1" si="3"/>
        <v>3</v>
      </c>
      <c r="P11" s="5">
        <f t="shared" ca="1" si="13"/>
        <v>0</v>
      </c>
    </row>
    <row r="12" spans="1:16" x14ac:dyDescent="0.25">
      <c r="A12" s="5">
        <v>9</v>
      </c>
      <c r="B12" s="5">
        <f t="shared" ca="1" si="0"/>
        <v>0.85665875983136119</v>
      </c>
      <c r="C12" s="5">
        <f t="shared" ca="1" si="4"/>
        <v>104</v>
      </c>
      <c r="D12" s="5">
        <f t="shared" ca="1" si="5"/>
        <v>0.27200353157706103</v>
      </c>
      <c r="E12" s="5">
        <f t="shared" ca="1" si="6"/>
        <v>1</v>
      </c>
      <c r="F12" s="5">
        <f t="shared" ca="1" si="7"/>
        <v>103</v>
      </c>
      <c r="G12" s="5">
        <f t="shared" ca="1" si="1"/>
        <v>-3</v>
      </c>
      <c r="H12" s="5">
        <f t="shared" ca="1" si="8"/>
        <v>1</v>
      </c>
      <c r="I12" s="5">
        <v>52</v>
      </c>
      <c r="J12" s="5">
        <f t="shared" ca="1" si="2"/>
        <v>0.38763215965434872</v>
      </c>
      <c r="K12" s="5">
        <f t="shared" ca="1" si="9"/>
        <v>99</v>
      </c>
      <c r="L12" s="5">
        <f t="shared" ca="1" si="10"/>
        <v>0.95847488551193594</v>
      </c>
      <c r="M12" s="5">
        <f t="shared" ca="1" si="11"/>
        <v>5</v>
      </c>
      <c r="N12" s="5">
        <f t="shared" ca="1" si="12"/>
        <v>94</v>
      </c>
      <c r="O12" s="5">
        <f t="shared" ca="1" si="3"/>
        <v>6</v>
      </c>
      <c r="P12" s="5">
        <f t="shared" ca="1" si="13"/>
        <v>0</v>
      </c>
    </row>
    <row r="13" spans="1:16" x14ac:dyDescent="0.25">
      <c r="A13" s="5">
        <v>10</v>
      </c>
      <c r="B13" s="5">
        <f t="shared" ca="1" si="0"/>
        <v>0.59734708378672985</v>
      </c>
      <c r="C13" s="5">
        <f t="shared" ca="1" si="4"/>
        <v>101</v>
      </c>
      <c r="D13" s="5">
        <f t="shared" ca="1" si="5"/>
        <v>0.45693733858536967</v>
      </c>
      <c r="E13" s="5">
        <f t="shared" ca="1" si="6"/>
        <v>2</v>
      </c>
      <c r="F13" s="5">
        <f t="shared" ca="1" si="7"/>
        <v>99</v>
      </c>
      <c r="G13" s="5">
        <f t="shared" ca="1" si="1"/>
        <v>1</v>
      </c>
      <c r="H13" s="5">
        <f t="shared" ca="1" si="8"/>
        <v>0</v>
      </c>
      <c r="I13" s="5">
        <v>53</v>
      </c>
      <c r="J13" s="5">
        <f t="shared" ca="1" si="2"/>
        <v>0.3434453657321449</v>
      </c>
      <c r="K13" s="5">
        <f t="shared" ca="1" si="9"/>
        <v>99</v>
      </c>
      <c r="L13" s="5">
        <f t="shared" ca="1" si="10"/>
        <v>0.41370534005419179</v>
      </c>
      <c r="M13" s="5">
        <f t="shared" ca="1" si="11"/>
        <v>2</v>
      </c>
      <c r="N13" s="5">
        <f t="shared" ca="1" si="12"/>
        <v>97</v>
      </c>
      <c r="O13" s="5">
        <f t="shared" ca="1" si="3"/>
        <v>3</v>
      </c>
      <c r="P13" s="5">
        <f t="shared" ca="1" si="13"/>
        <v>0</v>
      </c>
    </row>
    <row r="14" spans="1:16" x14ac:dyDescent="0.25">
      <c r="A14" s="5">
        <v>11</v>
      </c>
      <c r="B14" s="5">
        <f t="shared" ca="1" si="0"/>
        <v>0.6128441834876166</v>
      </c>
      <c r="C14" s="5">
        <f t="shared" ca="1" si="4"/>
        <v>102</v>
      </c>
      <c r="D14" s="5">
        <f t="shared" ca="1" si="5"/>
        <v>0.36580936314197865</v>
      </c>
      <c r="E14" s="5">
        <f t="shared" ca="1" si="6"/>
        <v>2</v>
      </c>
      <c r="F14" s="5">
        <f t="shared" ca="1" si="7"/>
        <v>100</v>
      </c>
      <c r="G14" s="5">
        <f t="shared" ca="1" si="1"/>
        <v>0</v>
      </c>
      <c r="H14" s="5">
        <f t="shared" ca="1" si="8"/>
        <v>0</v>
      </c>
      <c r="I14" s="5">
        <v>54</v>
      </c>
      <c r="J14" s="5">
        <f t="shared" ca="1" si="2"/>
        <v>0.39912708626723048</v>
      </c>
      <c r="K14" s="5">
        <f t="shared" ca="1" si="9"/>
        <v>100</v>
      </c>
      <c r="L14" s="5">
        <f t="shared" ca="1" si="10"/>
        <v>0.35989342511236289</v>
      </c>
      <c r="M14" s="5">
        <f t="shared" ca="1" si="11"/>
        <v>2</v>
      </c>
      <c r="N14" s="5">
        <f t="shared" ca="1" si="12"/>
        <v>98</v>
      </c>
      <c r="O14" s="5">
        <f t="shared" ca="1" si="3"/>
        <v>2</v>
      </c>
      <c r="P14" s="5">
        <f t="shared" ca="1" si="13"/>
        <v>0</v>
      </c>
    </row>
    <row r="15" spans="1:16" x14ac:dyDescent="0.25">
      <c r="A15" s="5">
        <v>12</v>
      </c>
      <c r="B15" s="5">
        <f t="shared" ca="1" si="0"/>
        <v>0.22106941574126449</v>
      </c>
      <c r="C15" s="5">
        <f t="shared" ca="1" si="4"/>
        <v>98</v>
      </c>
      <c r="D15" s="5">
        <f t="shared" ca="1" si="5"/>
        <v>0.29874287995119286</v>
      </c>
      <c r="E15" s="5">
        <f t="shared" ca="1" si="6"/>
        <v>1</v>
      </c>
      <c r="F15" s="5">
        <f t="shared" ca="1" si="7"/>
        <v>97</v>
      </c>
      <c r="G15" s="5">
        <f t="shared" ca="1" si="1"/>
        <v>3</v>
      </c>
      <c r="H15" s="5">
        <f t="shared" ca="1" si="8"/>
        <v>0</v>
      </c>
      <c r="I15" s="5">
        <v>55</v>
      </c>
      <c r="J15" s="5">
        <f t="shared" ca="1" si="2"/>
        <v>0.19969141876357221</v>
      </c>
      <c r="K15" s="5">
        <f t="shared" ca="1" si="9"/>
        <v>98</v>
      </c>
      <c r="L15" s="5">
        <f t="shared" ca="1" si="10"/>
        <v>0.74531612339313402</v>
      </c>
      <c r="M15" s="5">
        <f t="shared" ca="1" si="11"/>
        <v>3</v>
      </c>
      <c r="N15" s="5">
        <f t="shared" ca="1" si="12"/>
        <v>95</v>
      </c>
      <c r="O15" s="5">
        <f t="shared" ca="1" si="3"/>
        <v>5</v>
      </c>
      <c r="P15" s="5">
        <f t="shared" ca="1" si="13"/>
        <v>0</v>
      </c>
    </row>
    <row r="16" spans="1:16" x14ac:dyDescent="0.25">
      <c r="A16" s="5">
        <v>13</v>
      </c>
      <c r="B16" s="5">
        <f t="shared" ca="1" si="0"/>
        <v>0.69950209315049994</v>
      </c>
      <c r="C16" s="5">
        <f t="shared" ca="1" si="4"/>
        <v>102</v>
      </c>
      <c r="D16" s="5">
        <f t="shared" ca="1" si="5"/>
        <v>0.64100157117650935</v>
      </c>
      <c r="E16" s="5">
        <f t="shared" ca="1" si="6"/>
        <v>3</v>
      </c>
      <c r="F16" s="5">
        <f t="shared" ca="1" si="7"/>
        <v>99</v>
      </c>
      <c r="G16" s="5">
        <f t="shared" ca="1" si="1"/>
        <v>1</v>
      </c>
      <c r="H16" s="5">
        <f t="shared" ca="1" si="8"/>
        <v>0</v>
      </c>
      <c r="I16" s="5">
        <v>56</v>
      </c>
      <c r="J16" s="5">
        <f t="shared" ca="1" si="2"/>
        <v>0.48945790331584638</v>
      </c>
      <c r="K16" s="5">
        <f t="shared" ca="1" si="9"/>
        <v>100</v>
      </c>
      <c r="L16" s="5">
        <f t="shared" ca="1" si="10"/>
        <v>0.9399603751568002</v>
      </c>
      <c r="M16" s="5">
        <f t="shared" ca="1" si="11"/>
        <v>4</v>
      </c>
      <c r="N16" s="5">
        <f t="shared" ca="1" si="12"/>
        <v>96</v>
      </c>
      <c r="O16" s="5">
        <f t="shared" ca="1" si="3"/>
        <v>4</v>
      </c>
      <c r="P16" s="5">
        <f t="shared" ca="1" si="13"/>
        <v>0</v>
      </c>
    </row>
    <row r="17" spans="1:16" x14ac:dyDescent="0.25">
      <c r="A17" s="5">
        <v>14</v>
      </c>
      <c r="B17" s="5">
        <f t="shared" ca="1" si="0"/>
        <v>0.73017348121847714</v>
      </c>
      <c r="C17" s="5">
        <f t="shared" ca="1" si="4"/>
        <v>103</v>
      </c>
      <c r="D17" s="5">
        <f t="shared" ca="1" si="5"/>
        <v>0.35394551391653462</v>
      </c>
      <c r="E17" s="5">
        <f t="shared" ca="1" si="6"/>
        <v>2</v>
      </c>
      <c r="F17" s="5">
        <f t="shared" ca="1" si="7"/>
        <v>101</v>
      </c>
      <c r="G17" s="5">
        <f t="shared" ca="1" si="1"/>
        <v>-1</v>
      </c>
      <c r="H17" s="5">
        <f t="shared" ca="1" si="8"/>
        <v>1</v>
      </c>
      <c r="I17" s="5">
        <v>57</v>
      </c>
      <c r="J17" s="5">
        <f t="shared" ca="1" si="2"/>
        <v>0.85968777037386146</v>
      </c>
      <c r="K17" s="5">
        <f t="shared" ca="1" si="9"/>
        <v>104</v>
      </c>
      <c r="L17" s="5">
        <f t="shared" ca="1" si="10"/>
        <v>0.62806883247553613</v>
      </c>
      <c r="M17" s="5">
        <f t="shared" ca="1" si="11"/>
        <v>3</v>
      </c>
      <c r="N17" s="5">
        <f t="shared" ca="1" si="12"/>
        <v>101</v>
      </c>
      <c r="O17" s="5">
        <f t="shared" ca="1" si="3"/>
        <v>-1</v>
      </c>
      <c r="P17" s="5">
        <f t="shared" ca="1" si="13"/>
        <v>1</v>
      </c>
    </row>
    <row r="18" spans="1:16" x14ac:dyDescent="0.25">
      <c r="A18" s="5">
        <v>15</v>
      </c>
      <c r="B18" s="5">
        <f t="shared" ca="1" si="0"/>
        <v>0.63054880058856089</v>
      </c>
      <c r="C18" s="5">
        <f t="shared" ca="1" si="4"/>
        <v>102</v>
      </c>
      <c r="D18" s="5">
        <f t="shared" ca="1" si="5"/>
        <v>0.93409456183628148</v>
      </c>
      <c r="E18" s="5">
        <f t="shared" ca="1" si="6"/>
        <v>4</v>
      </c>
      <c r="F18" s="5">
        <f t="shared" ca="1" si="7"/>
        <v>98</v>
      </c>
      <c r="G18" s="5">
        <f t="shared" ca="1" si="1"/>
        <v>2</v>
      </c>
      <c r="H18" s="5">
        <f t="shared" ca="1" si="8"/>
        <v>0</v>
      </c>
      <c r="I18" s="5">
        <v>58</v>
      </c>
      <c r="J18" s="5">
        <f t="shared" ca="1" si="2"/>
        <v>7.7071008502350491E-2</v>
      </c>
      <c r="K18" s="5">
        <f t="shared" ca="1" si="9"/>
        <v>97</v>
      </c>
      <c r="L18" s="5">
        <f t="shared" ca="1" si="10"/>
        <v>2.244163680724276E-2</v>
      </c>
      <c r="M18" s="5">
        <f t="shared" ca="1" si="11"/>
        <v>0</v>
      </c>
      <c r="N18" s="5">
        <f t="shared" ca="1" si="12"/>
        <v>97</v>
      </c>
      <c r="O18" s="5">
        <f t="shared" ca="1" si="3"/>
        <v>3</v>
      </c>
      <c r="P18" s="5">
        <f t="shared" ca="1" si="13"/>
        <v>0</v>
      </c>
    </row>
    <row r="19" spans="1:16" x14ac:dyDescent="0.25">
      <c r="A19" s="5">
        <v>16</v>
      </c>
      <c r="B19" s="5">
        <f t="shared" ca="1" si="0"/>
        <v>0.12308469200793259</v>
      </c>
      <c r="C19" s="5">
        <f t="shared" ca="1" si="4"/>
        <v>97</v>
      </c>
      <c r="D19" s="5">
        <f t="shared" ca="1" si="5"/>
        <v>0.40975938681064472</v>
      </c>
      <c r="E19" s="5">
        <f t="shared" ca="1" si="6"/>
        <v>2</v>
      </c>
      <c r="F19" s="5">
        <f t="shared" ca="1" si="7"/>
        <v>95</v>
      </c>
      <c r="G19" s="5">
        <f t="shared" ca="1" si="1"/>
        <v>5</v>
      </c>
      <c r="H19" s="5">
        <f t="shared" ca="1" si="8"/>
        <v>0</v>
      </c>
      <c r="I19" s="5">
        <v>59</v>
      </c>
      <c r="J19" s="5">
        <f t="shared" ca="1" si="2"/>
        <v>0.63627489952110983</v>
      </c>
      <c r="K19" s="5">
        <f t="shared" ca="1" si="9"/>
        <v>102</v>
      </c>
      <c r="L19" s="5">
        <f t="shared" ca="1" si="10"/>
        <v>0.78347006338189895</v>
      </c>
      <c r="M19" s="5">
        <f t="shared" ca="1" si="11"/>
        <v>3</v>
      </c>
      <c r="N19" s="5">
        <f t="shared" ca="1" si="12"/>
        <v>99</v>
      </c>
      <c r="O19" s="5">
        <f t="shared" ca="1" si="3"/>
        <v>1</v>
      </c>
      <c r="P19" s="5">
        <f t="shared" ca="1" si="13"/>
        <v>0</v>
      </c>
    </row>
    <row r="20" spans="1:16" x14ac:dyDescent="0.25">
      <c r="A20" s="5">
        <v>17</v>
      </c>
      <c r="B20" s="5">
        <f t="shared" ca="1" si="0"/>
        <v>0.12448649037146697</v>
      </c>
      <c r="C20" s="5">
        <f t="shared" ca="1" si="4"/>
        <v>97</v>
      </c>
      <c r="D20" s="5">
        <f t="shared" ca="1" si="5"/>
        <v>0.5976736372482393</v>
      </c>
      <c r="E20" s="5">
        <f t="shared" ca="1" si="6"/>
        <v>3</v>
      </c>
      <c r="F20" s="5">
        <f t="shared" ca="1" si="7"/>
        <v>94</v>
      </c>
      <c r="G20" s="5">
        <f t="shared" ca="1" si="1"/>
        <v>6</v>
      </c>
      <c r="H20" s="5">
        <f t="shared" ca="1" si="8"/>
        <v>0</v>
      </c>
      <c r="I20" s="5">
        <v>60</v>
      </c>
      <c r="J20" s="5">
        <f t="shared" ca="1" si="2"/>
        <v>0.95423995700597686</v>
      </c>
      <c r="K20" s="5">
        <f t="shared" ca="1" si="9"/>
        <v>105</v>
      </c>
      <c r="L20" s="5">
        <f t="shared" ca="1" si="10"/>
        <v>4.0726747657862106E-2</v>
      </c>
      <c r="M20" s="5">
        <f t="shared" ca="1" si="11"/>
        <v>0</v>
      </c>
      <c r="N20" s="5">
        <f t="shared" ca="1" si="12"/>
        <v>105</v>
      </c>
      <c r="O20" s="5">
        <f t="shared" ca="1" si="3"/>
        <v>-5</v>
      </c>
      <c r="P20" s="5">
        <f t="shared" ca="1" si="13"/>
        <v>1</v>
      </c>
    </row>
    <row r="21" spans="1:16" x14ac:dyDescent="0.25">
      <c r="A21" s="5">
        <v>18</v>
      </c>
      <c r="B21" s="5">
        <f t="shared" ca="1" si="0"/>
        <v>0.25665796215175063</v>
      </c>
      <c r="C21" s="5">
        <f t="shared" ca="1" si="4"/>
        <v>98</v>
      </c>
      <c r="D21" s="5">
        <f t="shared" ca="1" si="5"/>
        <v>0.14562787651439757</v>
      </c>
      <c r="E21" s="5">
        <f t="shared" ca="1" si="6"/>
        <v>1</v>
      </c>
      <c r="F21" s="5">
        <f t="shared" ca="1" si="7"/>
        <v>97</v>
      </c>
      <c r="G21" s="5">
        <f t="shared" ca="1" si="1"/>
        <v>3</v>
      </c>
      <c r="H21" s="5">
        <f t="shared" ca="1" si="8"/>
        <v>0</v>
      </c>
      <c r="I21" s="5">
        <v>61</v>
      </c>
      <c r="J21" s="5">
        <f t="shared" ca="1" si="2"/>
        <v>0.67243830253910852</v>
      </c>
      <c r="K21" s="5">
        <f t="shared" ca="1" si="9"/>
        <v>102</v>
      </c>
      <c r="L21" s="5">
        <f t="shared" ca="1" si="10"/>
        <v>0.81323965835622769</v>
      </c>
      <c r="M21" s="5">
        <f t="shared" ca="1" si="11"/>
        <v>3</v>
      </c>
      <c r="N21" s="5">
        <f t="shared" ca="1" si="12"/>
        <v>99</v>
      </c>
      <c r="O21" s="5">
        <f t="shared" ca="1" si="3"/>
        <v>1</v>
      </c>
      <c r="P21" s="5">
        <f t="shared" ca="1" si="13"/>
        <v>0</v>
      </c>
    </row>
    <row r="22" spans="1:16" x14ac:dyDescent="0.25">
      <c r="A22" s="5">
        <v>19</v>
      </c>
      <c r="B22" s="5">
        <f t="shared" ca="1" si="0"/>
        <v>0.83427591488943031</v>
      </c>
      <c r="C22" s="5">
        <f t="shared" ca="1" si="4"/>
        <v>104</v>
      </c>
      <c r="D22" s="5">
        <f t="shared" ca="1" si="5"/>
        <v>0.63279084211214365</v>
      </c>
      <c r="E22" s="5">
        <f t="shared" ca="1" si="6"/>
        <v>3</v>
      </c>
      <c r="F22" s="5">
        <f t="shared" ca="1" si="7"/>
        <v>101</v>
      </c>
      <c r="G22" s="5">
        <f t="shared" ca="1" si="1"/>
        <v>-1</v>
      </c>
      <c r="H22" s="5">
        <f t="shared" ca="1" si="8"/>
        <v>1</v>
      </c>
      <c r="I22" s="5">
        <v>62</v>
      </c>
      <c r="J22" s="5">
        <f t="shared" ca="1" si="2"/>
        <v>4.7305507554763371E-2</v>
      </c>
      <c r="K22" s="5">
        <f t="shared" ca="1" si="9"/>
        <v>96</v>
      </c>
      <c r="L22" s="5">
        <f t="shared" ca="1" si="10"/>
        <v>0.36457248998275416</v>
      </c>
      <c r="M22" s="5">
        <f t="shared" ca="1" si="11"/>
        <v>2</v>
      </c>
      <c r="N22" s="5">
        <f t="shared" ca="1" si="12"/>
        <v>94</v>
      </c>
      <c r="O22" s="5">
        <f t="shared" ca="1" si="3"/>
        <v>6</v>
      </c>
      <c r="P22" s="5">
        <f t="shared" ca="1" si="13"/>
        <v>0</v>
      </c>
    </row>
    <row r="23" spans="1:16" x14ac:dyDescent="0.25">
      <c r="A23" s="5">
        <v>20</v>
      </c>
      <c r="B23" s="5">
        <f t="shared" ca="1" si="0"/>
        <v>0.61725181518636951</v>
      </c>
      <c r="C23" s="5">
        <f t="shared" ca="1" si="4"/>
        <v>102</v>
      </c>
      <c r="D23" s="5">
        <f t="shared" ca="1" si="5"/>
        <v>0.88017928883394625</v>
      </c>
      <c r="E23" s="5">
        <f t="shared" ca="1" si="6"/>
        <v>4</v>
      </c>
      <c r="F23" s="5">
        <f t="shared" ca="1" si="7"/>
        <v>98</v>
      </c>
      <c r="G23" s="5">
        <f t="shared" ca="1" si="1"/>
        <v>2</v>
      </c>
      <c r="H23" s="5">
        <f t="shared" ca="1" si="8"/>
        <v>0</v>
      </c>
      <c r="I23" s="5">
        <v>63</v>
      </c>
      <c r="J23" s="5">
        <f t="shared" ca="1" si="2"/>
        <v>0.69819083705745422</v>
      </c>
      <c r="K23" s="5">
        <f t="shared" ca="1" si="9"/>
        <v>102</v>
      </c>
      <c r="L23" s="5">
        <f t="shared" ca="1" si="10"/>
        <v>0.68528554451748103</v>
      </c>
      <c r="M23" s="5">
        <f t="shared" ca="1" si="11"/>
        <v>3</v>
      </c>
      <c r="N23" s="5">
        <f t="shared" ca="1" si="12"/>
        <v>99</v>
      </c>
      <c r="O23" s="5">
        <f t="shared" ca="1" si="3"/>
        <v>1</v>
      </c>
      <c r="P23" s="5">
        <f t="shared" ca="1" si="13"/>
        <v>0</v>
      </c>
    </row>
    <row r="24" spans="1:16" x14ac:dyDescent="0.25">
      <c r="A24" s="5">
        <v>21</v>
      </c>
      <c r="B24" s="5">
        <f t="shared" ca="1" si="0"/>
        <v>0.87748482887521762</v>
      </c>
      <c r="C24" s="5">
        <f t="shared" ca="1" si="4"/>
        <v>104</v>
      </c>
      <c r="D24" s="5">
        <f t="shared" ca="1" si="5"/>
        <v>8.7180974204626449E-2</v>
      </c>
      <c r="E24" s="5">
        <f t="shared" ca="1" si="6"/>
        <v>0</v>
      </c>
      <c r="F24" s="5">
        <f t="shared" ca="1" si="7"/>
        <v>104</v>
      </c>
      <c r="G24" s="5">
        <f t="shared" ca="1" si="1"/>
        <v>-4</v>
      </c>
      <c r="H24" s="5">
        <f t="shared" ca="1" si="8"/>
        <v>1</v>
      </c>
      <c r="I24" s="5">
        <v>64</v>
      </c>
      <c r="J24" s="5">
        <f t="shared" ca="1" si="2"/>
        <v>0.74617530212538219</v>
      </c>
      <c r="K24" s="5">
        <f t="shared" ca="1" si="9"/>
        <v>103</v>
      </c>
      <c r="L24" s="5">
        <f t="shared" ca="1" si="10"/>
        <v>0.90585445888966087</v>
      </c>
      <c r="M24" s="5">
        <f t="shared" ca="1" si="11"/>
        <v>4</v>
      </c>
      <c r="N24" s="5">
        <f t="shared" ca="1" si="12"/>
        <v>99</v>
      </c>
      <c r="O24" s="5">
        <f t="shared" ca="1" si="3"/>
        <v>1</v>
      </c>
      <c r="P24" s="5">
        <f t="shared" ca="1" si="13"/>
        <v>0</v>
      </c>
    </row>
    <row r="25" spans="1:16" x14ac:dyDescent="0.25">
      <c r="A25" s="5">
        <v>22</v>
      </c>
      <c r="B25" s="5">
        <f t="shared" ca="1" si="0"/>
        <v>0.41236568305418797</v>
      </c>
      <c r="C25" s="5">
        <f t="shared" ca="1" si="4"/>
        <v>100</v>
      </c>
      <c r="D25" s="5">
        <f t="shared" ca="1" si="5"/>
        <v>0.98760191972237066</v>
      </c>
      <c r="E25" s="5">
        <f t="shared" ca="1" si="6"/>
        <v>5</v>
      </c>
      <c r="F25" s="5">
        <f t="shared" ca="1" si="7"/>
        <v>95</v>
      </c>
      <c r="G25" s="5">
        <f t="shared" ca="1" si="1"/>
        <v>5</v>
      </c>
      <c r="H25" s="5">
        <f t="shared" ca="1" si="8"/>
        <v>0</v>
      </c>
      <c r="I25" s="5">
        <v>65</v>
      </c>
      <c r="J25" s="5">
        <f t="shared" ca="1" si="2"/>
        <v>0.32108529373151273</v>
      </c>
      <c r="K25" s="5">
        <f t="shared" ca="1" si="9"/>
        <v>99</v>
      </c>
      <c r="L25" s="5">
        <f t="shared" ca="1" si="10"/>
        <v>0.98368103397850004</v>
      </c>
      <c r="M25" s="5">
        <f t="shared" ca="1" si="11"/>
        <v>5</v>
      </c>
      <c r="N25" s="5">
        <f t="shared" ca="1" si="12"/>
        <v>94</v>
      </c>
      <c r="O25" s="5">
        <f t="shared" ca="1" si="3"/>
        <v>6</v>
      </c>
      <c r="P25" s="5">
        <f t="shared" ca="1" si="13"/>
        <v>0</v>
      </c>
    </row>
    <row r="26" spans="1:16" x14ac:dyDescent="0.25">
      <c r="A26" s="5">
        <v>23</v>
      </c>
      <c r="B26" s="5">
        <f t="shared" ca="1" si="0"/>
        <v>4.9116086499994882E-2</v>
      </c>
      <c r="C26" s="5">
        <f t="shared" ca="1" si="4"/>
        <v>96</v>
      </c>
      <c r="D26" s="5">
        <f t="shared" ca="1" si="5"/>
        <v>0.94732521620918064</v>
      </c>
      <c r="E26" s="5">
        <f t="shared" ca="1" si="6"/>
        <v>4</v>
      </c>
      <c r="F26" s="5">
        <f t="shared" ca="1" si="7"/>
        <v>92</v>
      </c>
      <c r="G26" s="5">
        <f t="shared" ca="1" si="1"/>
        <v>8</v>
      </c>
      <c r="H26" s="5">
        <f t="shared" ca="1" si="8"/>
        <v>0</v>
      </c>
      <c r="I26" s="5">
        <v>66</v>
      </c>
      <c r="J26" s="5">
        <f t="shared" ca="1" si="2"/>
        <v>0.29502232880552792</v>
      </c>
      <c r="K26" s="5">
        <f t="shared" ca="1" si="9"/>
        <v>99</v>
      </c>
      <c r="L26" s="5">
        <f t="shared" ca="1" si="10"/>
        <v>7.14808906539115E-2</v>
      </c>
      <c r="M26" s="5">
        <f t="shared" ca="1" si="11"/>
        <v>0</v>
      </c>
      <c r="N26" s="5">
        <f t="shared" ca="1" si="12"/>
        <v>99</v>
      </c>
      <c r="O26" s="5">
        <f t="shared" ca="1" si="3"/>
        <v>1</v>
      </c>
      <c r="P26" s="5">
        <f t="shared" ca="1" si="13"/>
        <v>0</v>
      </c>
    </row>
    <row r="27" spans="1:16" x14ac:dyDescent="0.25">
      <c r="A27" s="5">
        <v>24</v>
      </c>
      <c r="B27" s="5">
        <f t="shared" ca="1" si="0"/>
        <v>0.32110011450581677</v>
      </c>
      <c r="C27" s="5">
        <f t="shared" ca="1" si="4"/>
        <v>99</v>
      </c>
      <c r="D27" s="5">
        <f t="shared" ca="1" si="5"/>
        <v>0.47076558072412078</v>
      </c>
      <c r="E27" s="5">
        <f t="shared" ca="1" si="6"/>
        <v>2</v>
      </c>
      <c r="F27" s="5">
        <f t="shared" ca="1" si="7"/>
        <v>97</v>
      </c>
      <c r="G27" s="5">
        <f t="shared" ca="1" si="1"/>
        <v>3</v>
      </c>
      <c r="H27" s="5">
        <f t="shared" ca="1" si="8"/>
        <v>0</v>
      </c>
      <c r="I27" s="5">
        <v>67</v>
      </c>
      <c r="J27" s="5">
        <f t="shared" ca="1" si="2"/>
        <v>0.32597737165037943</v>
      </c>
      <c r="K27" s="5">
        <f t="shared" ca="1" si="9"/>
        <v>99</v>
      </c>
      <c r="L27" s="5">
        <f t="shared" ca="1" si="10"/>
        <v>0.66499151245846844</v>
      </c>
      <c r="M27" s="5">
        <f t="shared" ca="1" si="11"/>
        <v>3</v>
      </c>
      <c r="N27" s="5">
        <f t="shared" ca="1" si="12"/>
        <v>96</v>
      </c>
      <c r="O27" s="5">
        <f t="shared" ca="1" si="3"/>
        <v>4</v>
      </c>
      <c r="P27" s="5">
        <f t="shared" ca="1" si="13"/>
        <v>0</v>
      </c>
    </row>
    <row r="28" spans="1:16" x14ac:dyDescent="0.25">
      <c r="A28" s="5">
        <v>25</v>
      </c>
      <c r="B28" s="5">
        <f t="shared" ca="1" si="0"/>
        <v>0.29221157405076248</v>
      </c>
      <c r="C28" s="5">
        <f t="shared" ca="1" si="4"/>
        <v>99</v>
      </c>
      <c r="D28" s="5">
        <f t="shared" ca="1" si="5"/>
        <v>0.7338061945601615</v>
      </c>
      <c r="E28" s="5">
        <f t="shared" ca="1" si="6"/>
        <v>3</v>
      </c>
      <c r="F28" s="5">
        <f t="shared" ca="1" si="7"/>
        <v>96</v>
      </c>
      <c r="G28" s="5">
        <f t="shared" ca="1" si="1"/>
        <v>4</v>
      </c>
      <c r="H28" s="5">
        <f t="shared" ca="1" si="8"/>
        <v>0</v>
      </c>
      <c r="I28" s="5">
        <v>68</v>
      </c>
      <c r="J28" s="5">
        <f t="shared" ca="1" si="2"/>
        <v>0.9729188237339752</v>
      </c>
      <c r="K28" s="5">
        <f t="shared" ca="1" si="9"/>
        <v>105</v>
      </c>
      <c r="L28" s="5">
        <f t="shared" ca="1" si="10"/>
        <v>0.57433127530155192</v>
      </c>
      <c r="M28" s="5">
        <f t="shared" ca="1" si="11"/>
        <v>3</v>
      </c>
      <c r="N28" s="5">
        <f t="shared" ca="1" si="12"/>
        <v>102</v>
      </c>
      <c r="O28" s="5">
        <f t="shared" ca="1" si="3"/>
        <v>-2</v>
      </c>
      <c r="P28" s="5">
        <f t="shared" ca="1" si="13"/>
        <v>1</v>
      </c>
    </row>
    <row r="29" spans="1:16" x14ac:dyDescent="0.25">
      <c r="A29" s="5">
        <v>26</v>
      </c>
      <c r="B29" s="5">
        <f t="shared" ca="1" si="0"/>
        <v>0.67451833453425258</v>
      </c>
      <c r="C29" s="5">
        <f t="shared" ca="1" si="4"/>
        <v>102</v>
      </c>
      <c r="D29" s="5">
        <f t="shared" ca="1" si="5"/>
        <v>0.11111512444864913</v>
      </c>
      <c r="E29" s="5">
        <f t="shared" ca="1" si="6"/>
        <v>1</v>
      </c>
      <c r="F29" s="5">
        <f t="shared" ca="1" si="7"/>
        <v>101</v>
      </c>
      <c r="G29" s="5">
        <f t="shared" ca="1" si="1"/>
        <v>-1</v>
      </c>
      <c r="H29" s="5">
        <f t="shared" ca="1" si="8"/>
        <v>1</v>
      </c>
      <c r="I29" s="5">
        <v>69</v>
      </c>
      <c r="J29" s="5">
        <f t="shared" ca="1" si="2"/>
        <v>0.29359926971814565</v>
      </c>
      <c r="K29" s="5">
        <f t="shared" ca="1" si="9"/>
        <v>99</v>
      </c>
      <c r="L29" s="5">
        <f t="shared" ca="1" si="10"/>
        <v>0.91114624245795639</v>
      </c>
      <c r="M29" s="5">
        <f t="shared" ca="1" si="11"/>
        <v>4</v>
      </c>
      <c r="N29" s="5">
        <f t="shared" ca="1" si="12"/>
        <v>95</v>
      </c>
      <c r="O29" s="5">
        <f t="shared" ca="1" si="3"/>
        <v>5</v>
      </c>
      <c r="P29" s="5">
        <f t="shared" ca="1" si="13"/>
        <v>0</v>
      </c>
    </row>
    <row r="30" spans="1:16" x14ac:dyDescent="0.25">
      <c r="A30" s="5">
        <v>27</v>
      </c>
      <c r="B30" s="5">
        <f t="shared" ca="1" si="0"/>
        <v>0.63600062323498874</v>
      </c>
      <c r="C30" s="5">
        <f t="shared" ca="1" si="4"/>
        <v>102</v>
      </c>
      <c r="D30" s="5">
        <f t="shared" ca="1" si="5"/>
        <v>0.95381020904674463</v>
      </c>
      <c r="E30" s="5">
        <f t="shared" ca="1" si="6"/>
        <v>5</v>
      </c>
      <c r="F30" s="5">
        <f t="shared" ca="1" si="7"/>
        <v>97</v>
      </c>
      <c r="G30" s="5">
        <f t="shared" ca="1" si="1"/>
        <v>3</v>
      </c>
      <c r="H30" s="5">
        <f t="shared" ca="1" si="8"/>
        <v>0</v>
      </c>
      <c r="I30" s="5">
        <v>70</v>
      </c>
      <c r="J30" s="5">
        <f t="shared" ca="1" si="2"/>
        <v>0.10176733817462136</v>
      </c>
      <c r="K30" s="5">
        <f t="shared" ca="1" si="9"/>
        <v>97</v>
      </c>
      <c r="L30" s="5">
        <f t="shared" ca="1" si="10"/>
        <v>0.59793529006048785</v>
      </c>
      <c r="M30" s="5">
        <f t="shared" ca="1" si="11"/>
        <v>3</v>
      </c>
      <c r="N30" s="5">
        <f t="shared" ca="1" si="12"/>
        <v>94</v>
      </c>
      <c r="O30" s="5">
        <f t="shared" ca="1" si="3"/>
        <v>6</v>
      </c>
      <c r="P30" s="5">
        <f t="shared" ca="1" si="13"/>
        <v>0</v>
      </c>
    </row>
    <row r="31" spans="1:16" x14ac:dyDescent="0.25">
      <c r="A31" s="5">
        <v>28</v>
      </c>
      <c r="B31" s="5">
        <f t="shared" ca="1" si="0"/>
        <v>0.52816655139288782</v>
      </c>
      <c r="C31" s="5">
        <f t="shared" ca="1" si="4"/>
        <v>101</v>
      </c>
      <c r="D31" s="5">
        <f t="shared" ca="1" si="5"/>
        <v>0.41651095623229195</v>
      </c>
      <c r="E31" s="5">
        <f t="shared" ca="1" si="6"/>
        <v>2</v>
      </c>
      <c r="F31" s="5">
        <f t="shared" ca="1" si="7"/>
        <v>99</v>
      </c>
      <c r="G31" s="5">
        <f t="shared" ca="1" si="1"/>
        <v>1</v>
      </c>
      <c r="H31" s="5">
        <f t="shared" ca="1" si="8"/>
        <v>0</v>
      </c>
      <c r="I31" s="5">
        <v>71</v>
      </c>
      <c r="J31" s="5">
        <f t="shared" ca="1" si="2"/>
        <v>0.42930518839941623</v>
      </c>
      <c r="K31" s="5">
        <f t="shared" ca="1" si="9"/>
        <v>100</v>
      </c>
      <c r="L31" s="5">
        <f t="shared" ca="1" si="10"/>
        <v>0.46010196186366958</v>
      </c>
      <c r="M31" s="5">
        <f t="shared" ca="1" si="11"/>
        <v>2</v>
      </c>
      <c r="N31" s="5">
        <f t="shared" ca="1" si="12"/>
        <v>98</v>
      </c>
      <c r="O31" s="5">
        <f t="shared" ca="1" si="3"/>
        <v>2</v>
      </c>
      <c r="P31" s="5">
        <f t="shared" ca="1" si="13"/>
        <v>0</v>
      </c>
    </row>
    <row r="32" spans="1:16" x14ac:dyDescent="0.25">
      <c r="A32" s="5">
        <v>29</v>
      </c>
      <c r="B32" s="5">
        <f t="shared" ca="1" si="0"/>
        <v>0.81333623283435297</v>
      </c>
      <c r="C32" s="5">
        <f t="shared" ca="1" si="4"/>
        <v>103</v>
      </c>
      <c r="D32" s="5">
        <f t="shared" ca="1" si="5"/>
        <v>0.11191871382119878</v>
      </c>
      <c r="E32" s="5">
        <f t="shared" ca="1" si="6"/>
        <v>1</v>
      </c>
      <c r="F32" s="5">
        <f t="shared" ca="1" si="7"/>
        <v>102</v>
      </c>
      <c r="G32" s="5">
        <f t="shared" ca="1" si="1"/>
        <v>-2</v>
      </c>
      <c r="H32" s="5">
        <f t="shared" ca="1" si="8"/>
        <v>1</v>
      </c>
      <c r="I32" s="5">
        <v>72</v>
      </c>
      <c r="J32" s="5">
        <f t="shared" ca="1" si="2"/>
        <v>0.67661378021569585</v>
      </c>
      <c r="K32" s="5">
        <f t="shared" ca="1" si="9"/>
        <v>102</v>
      </c>
      <c r="L32" s="5">
        <f t="shared" ca="1" si="10"/>
        <v>0.73881668277378332</v>
      </c>
      <c r="M32" s="5">
        <f t="shared" ca="1" si="11"/>
        <v>3</v>
      </c>
      <c r="N32" s="5">
        <f t="shared" ca="1" si="12"/>
        <v>99</v>
      </c>
      <c r="O32" s="5">
        <f t="shared" ca="1" si="3"/>
        <v>1</v>
      </c>
      <c r="P32" s="5">
        <f t="shared" ca="1" si="13"/>
        <v>0</v>
      </c>
    </row>
    <row r="33" spans="1:16" x14ac:dyDescent="0.25">
      <c r="A33" s="5">
        <v>30</v>
      </c>
      <c r="B33" s="5">
        <f t="shared" ca="1" si="0"/>
        <v>0.43844652113452121</v>
      </c>
      <c r="C33" s="5">
        <f t="shared" ca="1" si="4"/>
        <v>100</v>
      </c>
      <c r="D33" s="5">
        <f t="shared" ca="1" si="5"/>
        <v>0.31561989260244194</v>
      </c>
      <c r="E33" s="5">
        <f t="shared" ca="1" si="6"/>
        <v>2</v>
      </c>
      <c r="F33" s="5">
        <f t="shared" ca="1" si="7"/>
        <v>98</v>
      </c>
      <c r="G33" s="5">
        <f t="shared" ca="1" si="1"/>
        <v>2</v>
      </c>
      <c r="H33" s="5">
        <f t="shared" ca="1" si="8"/>
        <v>0</v>
      </c>
      <c r="I33" s="5">
        <v>73</v>
      </c>
      <c r="J33" s="5">
        <f t="shared" ca="1" si="2"/>
        <v>0.26666867128210703</v>
      </c>
      <c r="K33" s="5">
        <f t="shared" ca="1" si="9"/>
        <v>98</v>
      </c>
      <c r="L33" s="5">
        <f t="shared" ca="1" si="10"/>
        <v>0.80259292942360949</v>
      </c>
      <c r="M33" s="5">
        <f t="shared" ca="1" si="11"/>
        <v>3</v>
      </c>
      <c r="N33" s="5">
        <f t="shared" ca="1" si="12"/>
        <v>95</v>
      </c>
      <c r="O33" s="5">
        <f t="shared" ca="1" si="3"/>
        <v>5</v>
      </c>
      <c r="P33" s="5">
        <f t="shared" ca="1" si="13"/>
        <v>0</v>
      </c>
    </row>
    <row r="34" spans="1:16" x14ac:dyDescent="0.25">
      <c r="A34" s="5">
        <v>31</v>
      </c>
      <c r="B34" s="5">
        <f t="shared" ca="1" si="0"/>
        <v>0.45186631864047211</v>
      </c>
      <c r="C34" s="5">
        <f t="shared" ca="1" si="4"/>
        <v>100</v>
      </c>
      <c r="D34" s="5">
        <f t="shared" ca="1" si="5"/>
        <v>0.36889594788952507</v>
      </c>
      <c r="E34" s="5">
        <f t="shared" ca="1" si="6"/>
        <v>2</v>
      </c>
      <c r="F34" s="5">
        <f t="shared" ca="1" si="7"/>
        <v>98</v>
      </c>
      <c r="G34" s="5">
        <f t="shared" ca="1" si="1"/>
        <v>2</v>
      </c>
      <c r="H34" s="5">
        <f t="shared" ca="1" si="8"/>
        <v>0</v>
      </c>
      <c r="I34" s="5">
        <v>74</v>
      </c>
      <c r="J34" s="5">
        <f t="shared" ca="1" si="2"/>
        <v>0.67028741432511063</v>
      </c>
      <c r="K34" s="5">
        <f t="shared" ca="1" si="9"/>
        <v>102</v>
      </c>
      <c r="L34" s="5">
        <f t="shared" ca="1" si="10"/>
        <v>0.53234636473433217</v>
      </c>
      <c r="M34" s="5">
        <f t="shared" ca="1" si="11"/>
        <v>2</v>
      </c>
      <c r="N34" s="5">
        <f t="shared" ca="1" si="12"/>
        <v>100</v>
      </c>
      <c r="O34" s="5">
        <f t="shared" ca="1" si="3"/>
        <v>0</v>
      </c>
      <c r="P34" s="5">
        <f t="shared" ca="1" si="13"/>
        <v>0</v>
      </c>
    </row>
    <row r="35" spans="1:16" x14ac:dyDescent="0.25">
      <c r="A35" s="5">
        <v>32</v>
      </c>
      <c r="B35" s="5">
        <f t="shared" ca="1" si="0"/>
        <v>0.17741342628818457</v>
      </c>
      <c r="C35" s="5">
        <f t="shared" ca="1" si="4"/>
        <v>98</v>
      </c>
      <c r="D35" s="5">
        <f t="shared" ca="1" si="5"/>
        <v>0.88289036069292226</v>
      </c>
      <c r="E35" s="5">
        <f t="shared" ca="1" si="6"/>
        <v>4</v>
      </c>
      <c r="F35" s="5">
        <f t="shared" ca="1" si="7"/>
        <v>94</v>
      </c>
      <c r="G35" s="5">
        <f t="shared" ca="1" si="1"/>
        <v>6</v>
      </c>
      <c r="H35" s="5">
        <f t="shared" ca="1" si="8"/>
        <v>0</v>
      </c>
      <c r="I35" s="5">
        <v>75</v>
      </c>
      <c r="J35" s="5">
        <f t="shared" ca="1" si="2"/>
        <v>0.39624707910754653</v>
      </c>
      <c r="K35" s="5">
        <f t="shared" ca="1" si="9"/>
        <v>100</v>
      </c>
      <c r="L35" s="5">
        <f t="shared" ca="1" si="10"/>
        <v>0.26285761086741688</v>
      </c>
      <c r="M35" s="5">
        <f t="shared" ca="1" si="11"/>
        <v>1</v>
      </c>
      <c r="N35" s="5">
        <f t="shared" ca="1" si="12"/>
        <v>99</v>
      </c>
      <c r="O35" s="5">
        <f t="shared" ca="1" si="3"/>
        <v>1</v>
      </c>
      <c r="P35" s="5">
        <f t="shared" ca="1" si="13"/>
        <v>0</v>
      </c>
    </row>
    <row r="36" spans="1:16" x14ac:dyDescent="0.25">
      <c r="A36" s="5">
        <v>33</v>
      </c>
      <c r="B36" s="5">
        <f t="shared" ca="1" si="0"/>
        <v>0.92635046756448935</v>
      </c>
      <c r="C36" s="5">
        <f t="shared" ca="1" si="4"/>
        <v>104</v>
      </c>
      <c r="D36" s="5">
        <f t="shared" ca="1" si="5"/>
        <v>0.66170398185806256</v>
      </c>
      <c r="E36" s="5">
        <f t="shared" ca="1" si="6"/>
        <v>3</v>
      </c>
      <c r="F36" s="5">
        <f t="shared" ca="1" si="7"/>
        <v>101</v>
      </c>
      <c r="G36" s="5">
        <f t="shared" ca="1" si="1"/>
        <v>-1</v>
      </c>
      <c r="H36" s="5">
        <f t="shared" ca="1" si="8"/>
        <v>1</v>
      </c>
      <c r="I36" s="5">
        <v>76</v>
      </c>
      <c r="J36" s="5">
        <f t="shared" ca="1" si="2"/>
        <v>0.2688556212368135</v>
      </c>
      <c r="K36" s="5">
        <f t="shared" ca="1" si="9"/>
        <v>98</v>
      </c>
      <c r="L36" s="5">
        <f t="shared" ca="1" si="10"/>
        <v>0.55076558882233617</v>
      </c>
      <c r="M36" s="5">
        <f t="shared" ca="1" si="11"/>
        <v>3</v>
      </c>
      <c r="N36" s="5">
        <f t="shared" ca="1" si="12"/>
        <v>95</v>
      </c>
      <c r="O36" s="5">
        <f t="shared" ca="1" si="3"/>
        <v>5</v>
      </c>
      <c r="P36" s="5">
        <f t="shared" ca="1" si="13"/>
        <v>0</v>
      </c>
    </row>
    <row r="37" spans="1:16" x14ac:dyDescent="0.25">
      <c r="A37" s="5">
        <v>34</v>
      </c>
      <c r="B37" s="5">
        <f t="shared" ca="1" si="0"/>
        <v>0.19153349453053914</v>
      </c>
      <c r="C37" s="5">
        <f t="shared" ca="1" si="4"/>
        <v>98</v>
      </c>
      <c r="D37" s="5">
        <f t="shared" ca="1" si="5"/>
        <v>0.72874716999706146</v>
      </c>
      <c r="E37" s="5">
        <f t="shared" ca="1" si="6"/>
        <v>3</v>
      </c>
      <c r="F37" s="5">
        <f t="shared" ca="1" si="7"/>
        <v>95</v>
      </c>
      <c r="G37" s="5">
        <f t="shared" ca="1" si="1"/>
        <v>5</v>
      </c>
      <c r="H37" s="5">
        <f t="shared" ca="1" si="8"/>
        <v>0</v>
      </c>
      <c r="I37" s="5">
        <v>77</v>
      </c>
      <c r="J37" s="5">
        <f t="shared" ca="1" si="2"/>
        <v>0.25421634277790794</v>
      </c>
      <c r="K37" s="5">
        <f t="shared" ca="1" si="9"/>
        <v>98</v>
      </c>
      <c r="L37" s="5">
        <f t="shared" ca="1" si="10"/>
        <v>0.80742015060554573</v>
      </c>
      <c r="M37" s="5">
        <f t="shared" ca="1" si="11"/>
        <v>3</v>
      </c>
      <c r="N37" s="5">
        <f t="shared" ca="1" si="12"/>
        <v>95</v>
      </c>
      <c r="O37" s="5">
        <f t="shared" ca="1" si="3"/>
        <v>5</v>
      </c>
      <c r="P37" s="5">
        <f t="shared" ca="1" si="13"/>
        <v>0</v>
      </c>
    </row>
    <row r="38" spans="1:16" x14ac:dyDescent="0.25">
      <c r="A38" s="5">
        <v>35</v>
      </c>
      <c r="B38" s="5">
        <f t="shared" ca="1" si="0"/>
        <v>0.91925315781984296</v>
      </c>
      <c r="C38" s="5">
        <f t="shared" ca="1" si="4"/>
        <v>104</v>
      </c>
      <c r="D38" s="5">
        <f t="shared" ca="1" si="5"/>
        <v>0.18536413224806036</v>
      </c>
      <c r="E38" s="5">
        <f t="shared" ca="1" si="6"/>
        <v>1</v>
      </c>
      <c r="F38" s="5">
        <f t="shared" ca="1" si="7"/>
        <v>103</v>
      </c>
      <c r="G38" s="5">
        <f t="shared" ca="1" si="1"/>
        <v>-3</v>
      </c>
      <c r="H38" s="5">
        <f t="shared" ca="1" si="8"/>
        <v>1</v>
      </c>
      <c r="I38" s="5">
        <v>78</v>
      </c>
      <c r="J38" s="5">
        <f t="shared" ca="1" si="2"/>
        <v>0.99340940801628097</v>
      </c>
      <c r="K38" s="5">
        <f t="shared" ca="1" si="9"/>
        <v>105</v>
      </c>
      <c r="L38" s="5">
        <f t="shared" ca="1" si="10"/>
        <v>0.23441927729328782</v>
      </c>
      <c r="M38" s="5">
        <f t="shared" ca="1" si="11"/>
        <v>1</v>
      </c>
      <c r="N38" s="5">
        <f t="shared" ca="1" si="12"/>
        <v>104</v>
      </c>
      <c r="O38" s="5">
        <f t="shared" ca="1" si="3"/>
        <v>-4</v>
      </c>
      <c r="P38" s="5">
        <f t="shared" ca="1" si="13"/>
        <v>1</v>
      </c>
    </row>
    <row r="39" spans="1:16" x14ac:dyDescent="0.25">
      <c r="A39" s="5">
        <v>36</v>
      </c>
      <c r="B39" s="5">
        <f t="shared" ca="1" si="0"/>
        <v>0.31242102117621606</v>
      </c>
      <c r="C39" s="5">
        <f t="shared" ca="1" si="4"/>
        <v>99</v>
      </c>
      <c r="D39" s="5">
        <f t="shared" ca="1" si="5"/>
        <v>0.34766899192470768</v>
      </c>
      <c r="E39" s="5">
        <f t="shared" ca="1" si="6"/>
        <v>2</v>
      </c>
      <c r="F39" s="5">
        <f t="shared" ca="1" si="7"/>
        <v>97</v>
      </c>
      <c r="G39" s="5">
        <f t="shared" ca="1" si="1"/>
        <v>3</v>
      </c>
      <c r="H39" s="5">
        <f t="shared" ca="1" si="8"/>
        <v>0</v>
      </c>
      <c r="I39" s="5">
        <v>79</v>
      </c>
      <c r="J39" s="5">
        <f t="shared" ca="1" si="2"/>
        <v>0.2413343970268087</v>
      </c>
      <c r="K39" s="5">
        <f t="shared" ca="1" si="9"/>
        <v>98</v>
      </c>
      <c r="L39" s="5">
        <f t="shared" ca="1" si="10"/>
        <v>0.43320682327990301</v>
      </c>
      <c r="M39" s="5">
        <f t="shared" ca="1" si="11"/>
        <v>2</v>
      </c>
      <c r="N39" s="5">
        <f t="shared" ca="1" si="12"/>
        <v>96</v>
      </c>
      <c r="O39" s="5">
        <f t="shared" ca="1" si="3"/>
        <v>4</v>
      </c>
      <c r="P39" s="5">
        <f t="shared" ca="1" si="13"/>
        <v>0</v>
      </c>
    </row>
    <row r="40" spans="1:16" x14ac:dyDescent="0.25">
      <c r="A40" s="5">
        <v>37</v>
      </c>
      <c r="B40" s="5">
        <f t="shared" ca="1" si="0"/>
        <v>0.57308940271891728</v>
      </c>
      <c r="C40" s="5">
        <f t="shared" ca="1" si="4"/>
        <v>101</v>
      </c>
      <c r="D40" s="5">
        <f t="shared" ca="1" si="5"/>
        <v>0.73143364934273847</v>
      </c>
      <c r="E40" s="5">
        <f t="shared" ca="1" si="6"/>
        <v>3</v>
      </c>
      <c r="F40" s="5">
        <f t="shared" ca="1" si="7"/>
        <v>98</v>
      </c>
      <c r="G40" s="5">
        <f t="shared" ca="1" si="1"/>
        <v>2</v>
      </c>
      <c r="H40" s="5">
        <f t="shared" ca="1" si="8"/>
        <v>0</v>
      </c>
      <c r="I40" s="5">
        <v>80</v>
      </c>
      <c r="J40" s="5">
        <f t="shared" ca="1" si="2"/>
        <v>0.16369946977668803</v>
      </c>
      <c r="K40" s="5">
        <f t="shared" ca="1" si="9"/>
        <v>97</v>
      </c>
      <c r="L40" s="5">
        <f t="shared" ca="1" si="10"/>
        <v>0.98690689384025376</v>
      </c>
      <c r="M40" s="5">
        <f t="shared" ca="1" si="11"/>
        <v>5</v>
      </c>
      <c r="N40" s="5">
        <f t="shared" ca="1" si="12"/>
        <v>92</v>
      </c>
      <c r="O40" s="5">
        <f t="shared" ca="1" si="3"/>
        <v>8</v>
      </c>
      <c r="P40" s="5">
        <f t="shared" ca="1" si="13"/>
        <v>0</v>
      </c>
    </row>
    <row r="41" spans="1:16" x14ac:dyDescent="0.25">
      <c r="A41" s="5">
        <v>38</v>
      </c>
      <c r="B41" s="5">
        <f t="shared" ca="1" si="0"/>
        <v>0.75963794069804358</v>
      </c>
      <c r="C41" s="5">
        <f t="shared" ca="1" si="4"/>
        <v>103</v>
      </c>
      <c r="D41" s="5">
        <f t="shared" ca="1" si="5"/>
        <v>0.45211886339404739</v>
      </c>
      <c r="E41" s="5">
        <f t="shared" ca="1" si="6"/>
        <v>2</v>
      </c>
      <c r="F41" s="5">
        <f t="shared" ca="1" si="7"/>
        <v>101</v>
      </c>
      <c r="G41" s="5">
        <f t="shared" ca="1" si="1"/>
        <v>-1</v>
      </c>
      <c r="H41" s="5">
        <f t="shared" ca="1" si="8"/>
        <v>1</v>
      </c>
      <c r="I41" s="5">
        <v>81</v>
      </c>
      <c r="J41" s="5">
        <f t="shared" ca="1" si="2"/>
        <v>0.97032592070018353</v>
      </c>
      <c r="K41" s="5">
        <f t="shared" ca="1" si="9"/>
        <v>105</v>
      </c>
      <c r="L41" s="5">
        <f t="shared" ca="1" si="10"/>
        <v>0.60619556207348568</v>
      </c>
      <c r="M41" s="5">
        <f t="shared" ca="1" si="11"/>
        <v>3</v>
      </c>
      <c r="N41" s="5">
        <f t="shared" ca="1" si="12"/>
        <v>102</v>
      </c>
      <c r="O41" s="5">
        <f t="shared" ca="1" si="3"/>
        <v>-2</v>
      </c>
      <c r="P41" s="5">
        <f t="shared" ca="1" si="13"/>
        <v>1</v>
      </c>
    </row>
    <row r="42" spans="1:16" x14ac:dyDescent="0.25">
      <c r="A42" s="5">
        <v>39</v>
      </c>
      <c r="B42" s="5">
        <f t="shared" ca="1" si="0"/>
        <v>0.64228781497900633</v>
      </c>
      <c r="C42" s="5">
        <f t="shared" ca="1" si="4"/>
        <v>102</v>
      </c>
      <c r="D42" s="5">
        <f t="shared" ca="1" si="5"/>
        <v>0.94298928645629021</v>
      </c>
      <c r="E42" s="5">
        <f t="shared" ca="1" si="6"/>
        <v>4</v>
      </c>
      <c r="F42" s="5">
        <f t="shared" ca="1" si="7"/>
        <v>98</v>
      </c>
      <c r="G42" s="5">
        <f t="shared" ca="1" si="1"/>
        <v>2</v>
      </c>
      <c r="H42" s="5">
        <f t="shared" ca="1" si="8"/>
        <v>0</v>
      </c>
      <c r="I42" s="5">
        <v>82</v>
      </c>
      <c r="J42" s="5">
        <f t="shared" ca="1" si="2"/>
        <v>0.91149584148875584</v>
      </c>
      <c r="K42" s="5">
        <f t="shared" ca="1" si="9"/>
        <v>104</v>
      </c>
      <c r="L42" s="5">
        <f t="shared" ca="1" si="10"/>
        <v>0.9785391186684349</v>
      </c>
      <c r="M42" s="5">
        <f t="shared" ca="1" si="11"/>
        <v>5</v>
      </c>
      <c r="N42" s="5">
        <f t="shared" ca="1" si="12"/>
        <v>99</v>
      </c>
      <c r="O42" s="5">
        <f t="shared" ca="1" si="3"/>
        <v>1</v>
      </c>
      <c r="P42" s="5">
        <f t="shared" ca="1" si="13"/>
        <v>0</v>
      </c>
    </row>
    <row r="43" spans="1:16" x14ac:dyDescent="0.25">
      <c r="A43" s="5">
        <v>40</v>
      </c>
      <c r="B43" s="5">
        <f t="shared" ca="1" si="0"/>
        <v>0.69514642476868127</v>
      </c>
      <c r="C43" s="5">
        <f t="shared" ca="1" si="4"/>
        <v>102</v>
      </c>
      <c r="D43" s="5">
        <f t="shared" ca="1" si="5"/>
        <v>0.16640031444614989</v>
      </c>
      <c r="E43" s="5">
        <f t="shared" ca="1" si="6"/>
        <v>1</v>
      </c>
      <c r="F43" s="5">
        <f t="shared" ca="1" si="7"/>
        <v>101</v>
      </c>
      <c r="G43" s="5">
        <f t="shared" ca="1" si="1"/>
        <v>-1</v>
      </c>
      <c r="H43" s="5">
        <f t="shared" ca="1" si="8"/>
        <v>1</v>
      </c>
      <c r="I43" s="5">
        <v>83</v>
      </c>
      <c r="J43" s="5">
        <f t="shared" ca="1" si="2"/>
        <v>0.68078022434914331</v>
      </c>
      <c r="K43" s="5">
        <f t="shared" ca="1" si="9"/>
        <v>102</v>
      </c>
      <c r="L43" s="5">
        <f t="shared" ca="1" si="10"/>
        <v>0.86525302691577288</v>
      </c>
      <c r="M43" s="5">
        <f t="shared" ca="1" si="11"/>
        <v>4</v>
      </c>
      <c r="N43" s="5">
        <f t="shared" ca="1" si="12"/>
        <v>98</v>
      </c>
      <c r="O43" s="5">
        <f t="shared" ca="1" si="3"/>
        <v>2</v>
      </c>
      <c r="P43" s="5">
        <f t="shared" ca="1" si="13"/>
        <v>0</v>
      </c>
    </row>
    <row r="44" spans="1:16" x14ac:dyDescent="0.25">
      <c r="A44" s="5">
        <v>41</v>
      </c>
      <c r="B44" s="5">
        <f t="shared" ca="1" si="0"/>
        <v>0.99178536907005266</v>
      </c>
      <c r="C44" s="5">
        <f t="shared" ca="1" si="4"/>
        <v>105</v>
      </c>
      <c r="D44" s="5">
        <f t="shared" ca="1" si="5"/>
        <v>0.24742952855833222</v>
      </c>
      <c r="E44" s="5">
        <f t="shared" ca="1" si="6"/>
        <v>1</v>
      </c>
      <c r="F44" s="5">
        <f t="shared" ca="1" si="7"/>
        <v>104</v>
      </c>
      <c r="G44" s="5">
        <f t="shared" ca="1" si="1"/>
        <v>-4</v>
      </c>
      <c r="H44" s="5">
        <f t="shared" ca="1" si="8"/>
        <v>1</v>
      </c>
      <c r="I44" s="5">
        <v>84</v>
      </c>
      <c r="J44" s="5">
        <f t="shared" ca="1" si="2"/>
        <v>0.78087021554021063</v>
      </c>
      <c r="K44" s="5">
        <f t="shared" ca="1" si="9"/>
        <v>103</v>
      </c>
      <c r="L44" s="5">
        <f t="shared" ca="1" si="10"/>
        <v>0.19531968509501862</v>
      </c>
      <c r="M44" s="5">
        <f t="shared" ca="1" si="11"/>
        <v>1</v>
      </c>
      <c r="N44" s="5">
        <f t="shared" ca="1" si="12"/>
        <v>102</v>
      </c>
      <c r="O44" s="5">
        <f t="shared" ca="1" si="3"/>
        <v>-2</v>
      </c>
      <c r="P44" s="5">
        <f t="shared" ca="1" si="13"/>
        <v>1</v>
      </c>
    </row>
    <row r="45" spans="1:16" x14ac:dyDescent="0.25">
      <c r="A45" s="5">
        <v>42</v>
      </c>
      <c r="B45" s="5">
        <f t="shared" ca="1" si="0"/>
        <v>0.86994880189189372</v>
      </c>
      <c r="C45" s="5">
        <f t="shared" ca="1" si="4"/>
        <v>104</v>
      </c>
      <c r="D45" s="5">
        <f t="shared" ca="1" si="5"/>
        <v>0.82982706931826533</v>
      </c>
      <c r="E45" s="5">
        <f t="shared" ca="1" si="6"/>
        <v>3</v>
      </c>
      <c r="F45" s="5">
        <f t="shared" ca="1" si="7"/>
        <v>101</v>
      </c>
      <c r="G45" s="5">
        <f t="shared" ca="1" si="1"/>
        <v>-1</v>
      </c>
      <c r="H45" s="5">
        <f t="shared" ca="1" si="8"/>
        <v>1</v>
      </c>
      <c r="I45" s="5">
        <v>85</v>
      </c>
      <c r="J45" s="5">
        <f t="shared" ca="1" si="2"/>
        <v>0.55564340431463521</v>
      </c>
      <c r="K45" s="5">
        <f t="shared" ca="1" si="9"/>
        <v>101</v>
      </c>
      <c r="L45" s="5">
        <f t="shared" ca="1" si="10"/>
        <v>0.70641731276203878</v>
      </c>
      <c r="M45" s="5">
        <f t="shared" ca="1" si="11"/>
        <v>3</v>
      </c>
      <c r="N45" s="5">
        <f t="shared" ca="1" si="12"/>
        <v>98</v>
      </c>
      <c r="O45" s="5">
        <f t="shared" ca="1" si="3"/>
        <v>2</v>
      </c>
      <c r="P45" s="5">
        <f t="shared" ca="1" si="13"/>
        <v>0</v>
      </c>
    </row>
    <row r="46" spans="1:16" x14ac:dyDescent="0.25">
      <c r="A46" s="5">
        <v>43</v>
      </c>
      <c r="B46" s="5">
        <f t="shared" ca="1" si="0"/>
        <v>0.91733641357955442</v>
      </c>
      <c r="C46" s="5">
        <f t="shared" ca="1" si="4"/>
        <v>104</v>
      </c>
      <c r="D46" s="5">
        <f t="shared" ca="1" si="5"/>
        <v>0.71821160162318531</v>
      </c>
      <c r="E46" s="5">
        <f t="shared" ca="1" si="6"/>
        <v>3</v>
      </c>
      <c r="F46" s="5">
        <f t="shared" ca="1" si="7"/>
        <v>101</v>
      </c>
      <c r="G46" s="5">
        <f t="shared" ca="1" si="1"/>
        <v>-1</v>
      </c>
      <c r="H46" s="5">
        <f t="shared" ca="1" si="8"/>
        <v>1</v>
      </c>
      <c r="I46" s="5">
        <v>86</v>
      </c>
      <c r="J46" s="5">
        <f t="shared" ca="1" si="2"/>
        <v>4.4125047312252086E-2</v>
      </c>
      <c r="K46" s="5">
        <f ca="1">RESERVACIONES(J46)</f>
        <v>96</v>
      </c>
      <c r="L46" s="5">
        <f t="shared" ca="1" si="10"/>
        <v>0.55373338051185461</v>
      </c>
      <c r="M46" s="5">
        <f t="shared" ca="1" si="11"/>
        <v>3</v>
      </c>
      <c r="N46" s="5">
        <f t="shared" ca="1" si="12"/>
        <v>93</v>
      </c>
      <c r="O46" s="5">
        <f t="shared" ca="1" si="3"/>
        <v>7</v>
      </c>
      <c r="P46" s="5">
        <f t="shared" ca="1" si="13"/>
        <v>0</v>
      </c>
    </row>
    <row r="47" spans="1:16" x14ac:dyDescent="0.25">
      <c r="F47" s="10" t="s">
        <v>40</v>
      </c>
      <c r="G47" s="11"/>
      <c r="H47" s="12">
        <f ca="1">SUM(H4:H46)</f>
        <v>18</v>
      </c>
      <c r="N47" s="10" t="s">
        <v>40</v>
      </c>
      <c r="O47" s="11"/>
      <c r="P47" s="12">
        <f ca="1">SUM(P4:P46)</f>
        <v>8</v>
      </c>
    </row>
  </sheetData>
  <mergeCells count="6">
    <mergeCell ref="B2:C2"/>
    <mergeCell ref="D2:E2"/>
    <mergeCell ref="J2:K2"/>
    <mergeCell ref="L2:M2"/>
    <mergeCell ref="A1:H1"/>
    <mergeCell ref="I1:P1"/>
  </mergeCells>
  <printOptions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47"/>
  <sheetViews>
    <sheetView topLeftCell="A28" workbookViewId="0">
      <selection activeCell="K49" sqref="K49"/>
    </sheetView>
  </sheetViews>
  <sheetFormatPr baseColWidth="10" defaultRowHeight="15" x14ac:dyDescent="0.25"/>
  <cols>
    <col min="1" max="1" width="3.7109375" bestFit="1" customWidth="1"/>
    <col min="2" max="2" width="10.42578125" bestFit="1" customWidth="1"/>
    <col min="3" max="3" width="8.85546875" bestFit="1" customWidth="1"/>
    <col min="4" max="4" width="14.42578125" customWidth="1"/>
    <col min="5" max="5" width="8.7109375" bestFit="1" customWidth="1"/>
    <col min="6" max="6" width="15.28515625" customWidth="1"/>
    <col min="7" max="7" width="13.5703125" customWidth="1"/>
    <col min="8" max="8" width="14.42578125" customWidth="1"/>
    <col min="9" max="9" width="4" bestFit="1" customWidth="1"/>
    <col min="10" max="10" width="10.42578125" bestFit="1" customWidth="1"/>
    <col min="11" max="11" width="8.85546875" bestFit="1" customWidth="1"/>
    <col min="12" max="12" width="14.42578125" customWidth="1"/>
    <col min="13" max="13" width="8.7109375" bestFit="1" customWidth="1"/>
    <col min="14" max="14" width="15.28515625" customWidth="1"/>
    <col min="15" max="15" width="13.5703125" customWidth="1"/>
    <col min="16" max="16" width="14.42578125" customWidth="1"/>
  </cols>
  <sheetData>
    <row r="1" spans="1:16" x14ac:dyDescent="0.25">
      <c r="A1" s="30" t="s">
        <v>41</v>
      </c>
      <c r="B1" s="30"/>
      <c r="C1" s="30"/>
      <c r="D1" s="30"/>
      <c r="E1" s="30"/>
      <c r="F1" s="30"/>
      <c r="G1" s="30"/>
      <c r="H1" s="30"/>
      <c r="I1" s="30" t="s">
        <v>41</v>
      </c>
      <c r="J1" s="30"/>
      <c r="K1" s="30"/>
      <c r="L1" s="30"/>
      <c r="M1" s="30"/>
      <c r="N1" s="30"/>
      <c r="O1" s="30"/>
      <c r="P1" s="30"/>
    </row>
    <row r="2" spans="1:16" ht="15" customHeight="1" x14ac:dyDescent="0.25">
      <c r="A2" s="5" t="s">
        <v>20</v>
      </c>
      <c r="B2" s="28" t="s">
        <v>23</v>
      </c>
      <c r="C2" s="28"/>
      <c r="D2" s="29" t="s">
        <v>24</v>
      </c>
      <c r="E2" s="29"/>
      <c r="F2" s="13" t="s">
        <v>37</v>
      </c>
      <c r="G2" s="13" t="s">
        <v>38</v>
      </c>
      <c r="H2" s="13" t="s">
        <v>39</v>
      </c>
      <c r="I2" s="5" t="s">
        <v>20</v>
      </c>
      <c r="J2" s="28" t="s">
        <v>23</v>
      </c>
      <c r="K2" s="28"/>
      <c r="L2" s="29" t="s">
        <v>24</v>
      </c>
      <c r="M2" s="29"/>
      <c r="N2" s="13" t="s">
        <v>37</v>
      </c>
      <c r="O2" s="13" t="s">
        <v>38</v>
      </c>
      <c r="P2" s="13" t="s">
        <v>39</v>
      </c>
    </row>
    <row r="3" spans="1:16" x14ac:dyDescent="0.25">
      <c r="A3" s="5"/>
      <c r="B3" s="5" t="s">
        <v>21</v>
      </c>
      <c r="C3" s="5" t="s">
        <v>22</v>
      </c>
      <c r="D3" s="5" t="s">
        <v>21</v>
      </c>
      <c r="E3" s="5" t="s">
        <v>22</v>
      </c>
      <c r="F3" s="5"/>
      <c r="G3" s="5"/>
      <c r="H3" s="5"/>
      <c r="I3" s="5"/>
      <c r="J3" s="5" t="s">
        <v>21</v>
      </c>
      <c r="K3" s="5" t="s">
        <v>22</v>
      </c>
      <c r="L3" s="5" t="s">
        <v>21</v>
      </c>
      <c r="M3" s="5" t="s">
        <v>22</v>
      </c>
      <c r="N3" s="5"/>
      <c r="O3" s="5"/>
      <c r="P3" s="5"/>
    </row>
    <row r="4" spans="1:16" x14ac:dyDescent="0.25">
      <c r="A4" s="5">
        <v>87</v>
      </c>
      <c r="B4" s="5">
        <f t="shared" ref="B4:B46" ca="1" si="0">RAND()</f>
        <v>1.8671113253936555E-2</v>
      </c>
      <c r="C4" s="5">
        <f ca="1">RESERVACIONES(B4)</f>
        <v>96</v>
      </c>
      <c r="D4" s="5">
        <f ca="1">RAND()</f>
        <v>0.45239214864459221</v>
      </c>
      <c r="E4" s="5">
        <f ca="1">SNASISTENCIA(D4)</f>
        <v>2</v>
      </c>
      <c r="F4" s="5">
        <f ca="1">C4-E4</f>
        <v>94</v>
      </c>
      <c r="G4" s="5">
        <f t="shared" ref="G4:G46" ca="1" si="1">100-F4</f>
        <v>6</v>
      </c>
      <c r="H4" s="5">
        <f ca="1">RECLAMACIONES(G4)</f>
        <v>0</v>
      </c>
      <c r="I4" s="5">
        <v>130</v>
      </c>
      <c r="J4" s="5">
        <f t="shared" ref="J4:J46" ca="1" si="2">RAND()</f>
        <v>0.49871614822676524</v>
      </c>
      <c r="K4" s="5">
        <f ca="1">RESERVACIONES(J4)</f>
        <v>100</v>
      </c>
      <c r="L4" s="5">
        <f ca="1">RAND()</f>
        <v>0.38629294082338228</v>
      </c>
      <c r="M4" s="5">
        <f ca="1">SNASISTENCIA(L4)</f>
        <v>2</v>
      </c>
      <c r="N4" s="5">
        <f ca="1">K4-M4</f>
        <v>98</v>
      </c>
      <c r="O4" s="5">
        <f t="shared" ref="O4:O46" ca="1" si="3">100-N4</f>
        <v>2</v>
      </c>
      <c r="P4" s="5">
        <f ca="1">RECLAMACIONES(O4)</f>
        <v>0</v>
      </c>
    </row>
    <row r="5" spans="1:16" x14ac:dyDescent="0.25">
      <c r="A5" s="5">
        <v>88</v>
      </c>
      <c r="B5" s="5">
        <f t="shared" ca="1" si="0"/>
        <v>0.27761057342339435</v>
      </c>
      <c r="C5" s="5">
        <f t="shared" ref="C5:C46" ca="1" si="4">RESERVACIONES(B5)</f>
        <v>98</v>
      </c>
      <c r="D5" s="5">
        <f t="shared" ref="D5:D46" ca="1" si="5">RAND()</f>
        <v>0.91166339996214352</v>
      </c>
      <c r="E5" s="5">
        <f t="shared" ref="E5:E46" ca="1" si="6">SNASISTENCIA(D5)</f>
        <v>4</v>
      </c>
      <c r="F5" s="5">
        <f t="shared" ref="F5:F46" ca="1" si="7">C5-E5</f>
        <v>94</v>
      </c>
      <c r="G5" s="5">
        <f t="shared" ca="1" si="1"/>
        <v>6</v>
      </c>
      <c r="H5" s="5">
        <f t="shared" ref="H5:H46" ca="1" si="8">RECLAMACIONES(G5)</f>
        <v>0</v>
      </c>
      <c r="I5" s="5">
        <v>131</v>
      </c>
      <c r="J5" s="5">
        <f t="shared" ca="1" si="2"/>
        <v>4.683771015031668E-2</v>
      </c>
      <c r="K5" s="5">
        <f t="shared" ref="K5:K45" ca="1" si="9">RESERVACIONES(J5)</f>
        <v>96</v>
      </c>
      <c r="L5" s="5">
        <f t="shared" ref="L5:L46" ca="1" si="10">RAND()</f>
        <v>0.60485275115643433</v>
      </c>
      <c r="M5" s="5">
        <f t="shared" ref="M5:M46" ca="1" si="11">SNASISTENCIA(L5)</f>
        <v>3</v>
      </c>
      <c r="N5" s="5">
        <f t="shared" ref="N5:N46" ca="1" si="12">K5-M5</f>
        <v>93</v>
      </c>
      <c r="O5" s="5">
        <f t="shared" ca="1" si="3"/>
        <v>7</v>
      </c>
      <c r="P5" s="5">
        <f t="shared" ref="P5:P46" ca="1" si="13">RECLAMACIONES(O5)</f>
        <v>0</v>
      </c>
    </row>
    <row r="6" spans="1:16" x14ac:dyDescent="0.25">
      <c r="A6" s="5">
        <v>89</v>
      </c>
      <c r="B6" s="5">
        <f t="shared" ca="1" si="0"/>
        <v>0.72890822941028899</v>
      </c>
      <c r="C6" s="5">
        <f t="shared" ca="1" si="4"/>
        <v>103</v>
      </c>
      <c r="D6" s="5">
        <f t="shared" ca="1" si="5"/>
        <v>0.83569856482442695</v>
      </c>
      <c r="E6" s="5">
        <f t="shared" ca="1" si="6"/>
        <v>3</v>
      </c>
      <c r="F6" s="5">
        <f t="shared" ca="1" si="7"/>
        <v>100</v>
      </c>
      <c r="G6" s="5">
        <f t="shared" ca="1" si="1"/>
        <v>0</v>
      </c>
      <c r="H6" s="5">
        <f t="shared" ca="1" si="8"/>
        <v>0</v>
      </c>
      <c r="I6" s="5">
        <v>132</v>
      </c>
      <c r="J6" s="5">
        <f t="shared" ca="1" si="2"/>
        <v>0.89470981139904804</v>
      </c>
      <c r="K6" s="5">
        <f t="shared" ca="1" si="9"/>
        <v>104</v>
      </c>
      <c r="L6" s="5">
        <f t="shared" ca="1" si="10"/>
        <v>0.47313807416270537</v>
      </c>
      <c r="M6" s="5">
        <f t="shared" ca="1" si="11"/>
        <v>2</v>
      </c>
      <c r="N6" s="5">
        <f t="shared" ca="1" si="12"/>
        <v>102</v>
      </c>
      <c r="O6" s="5">
        <f t="shared" ca="1" si="3"/>
        <v>-2</v>
      </c>
      <c r="P6" s="5">
        <f t="shared" ca="1" si="13"/>
        <v>1</v>
      </c>
    </row>
    <row r="7" spans="1:16" x14ac:dyDescent="0.25">
      <c r="A7" s="5">
        <v>90</v>
      </c>
      <c r="B7" s="5">
        <f t="shared" ca="1" si="0"/>
        <v>0.36973390727715716</v>
      </c>
      <c r="C7" s="5">
        <f t="shared" ca="1" si="4"/>
        <v>99</v>
      </c>
      <c r="D7" s="5">
        <f t="shared" ca="1" si="5"/>
        <v>0.47623672648551707</v>
      </c>
      <c r="E7" s="5">
        <f t="shared" ca="1" si="6"/>
        <v>2</v>
      </c>
      <c r="F7" s="5">
        <f t="shared" ca="1" si="7"/>
        <v>97</v>
      </c>
      <c r="G7" s="5">
        <f t="shared" ca="1" si="1"/>
        <v>3</v>
      </c>
      <c r="H7" s="5">
        <f t="shared" ca="1" si="8"/>
        <v>0</v>
      </c>
      <c r="I7" s="5">
        <v>133</v>
      </c>
      <c r="J7" s="5">
        <f t="shared" ca="1" si="2"/>
        <v>0.16492362178126541</v>
      </c>
      <c r="K7" s="5">
        <f t="shared" ca="1" si="9"/>
        <v>97</v>
      </c>
      <c r="L7" s="5">
        <f t="shared" ca="1" si="10"/>
        <v>0.99510557072711037</v>
      </c>
      <c r="M7" s="5">
        <f t="shared" ca="1" si="11"/>
        <v>5</v>
      </c>
      <c r="N7" s="5">
        <f t="shared" ca="1" si="12"/>
        <v>92</v>
      </c>
      <c r="O7" s="5">
        <f t="shared" ca="1" si="3"/>
        <v>8</v>
      </c>
      <c r="P7" s="5">
        <f t="shared" ca="1" si="13"/>
        <v>0</v>
      </c>
    </row>
    <row r="8" spans="1:16" x14ac:dyDescent="0.25">
      <c r="A8" s="5">
        <v>91</v>
      </c>
      <c r="B8" s="5">
        <f t="shared" ca="1" si="0"/>
        <v>0.15286140023052519</v>
      </c>
      <c r="C8" s="5">
        <f t="shared" ca="1" si="4"/>
        <v>97</v>
      </c>
      <c r="D8" s="5">
        <f t="shared" ca="1" si="5"/>
        <v>0.57674179742480447</v>
      </c>
      <c r="E8" s="5">
        <f t="shared" ca="1" si="6"/>
        <v>3</v>
      </c>
      <c r="F8" s="5">
        <f t="shared" ca="1" si="7"/>
        <v>94</v>
      </c>
      <c r="G8" s="5">
        <f t="shared" ca="1" si="1"/>
        <v>6</v>
      </c>
      <c r="H8" s="5">
        <f t="shared" ca="1" si="8"/>
        <v>0</v>
      </c>
      <c r="I8" s="5">
        <v>134</v>
      </c>
      <c r="J8" s="5">
        <f t="shared" ca="1" si="2"/>
        <v>0.12148706259965958</v>
      </c>
      <c r="K8" s="5">
        <f t="shared" ca="1" si="9"/>
        <v>97</v>
      </c>
      <c r="L8" s="5">
        <f t="shared" ca="1" si="10"/>
        <v>0.77316346047319429</v>
      </c>
      <c r="M8" s="5">
        <f t="shared" ca="1" si="11"/>
        <v>3</v>
      </c>
      <c r="N8" s="5">
        <f t="shared" ca="1" si="12"/>
        <v>94</v>
      </c>
      <c r="O8" s="5">
        <f t="shared" ca="1" si="3"/>
        <v>6</v>
      </c>
      <c r="P8" s="5">
        <f t="shared" ca="1" si="13"/>
        <v>0</v>
      </c>
    </row>
    <row r="9" spans="1:16" x14ac:dyDescent="0.25">
      <c r="A9" s="5">
        <v>92</v>
      </c>
      <c r="B9" s="5">
        <f t="shared" ca="1" si="0"/>
        <v>0.75849485803077143</v>
      </c>
      <c r="C9" s="5">
        <f t="shared" ca="1" si="4"/>
        <v>103</v>
      </c>
      <c r="D9" s="5">
        <f t="shared" ca="1" si="5"/>
        <v>0.75988465956816231</v>
      </c>
      <c r="E9" s="5">
        <f t="shared" ca="1" si="6"/>
        <v>3</v>
      </c>
      <c r="F9" s="5">
        <f t="shared" ca="1" si="7"/>
        <v>100</v>
      </c>
      <c r="G9" s="5">
        <f t="shared" ca="1" si="1"/>
        <v>0</v>
      </c>
      <c r="H9" s="5">
        <f t="shared" ca="1" si="8"/>
        <v>0</v>
      </c>
      <c r="I9" s="5">
        <v>135</v>
      </c>
      <c r="J9" s="5">
        <f t="shared" ca="1" si="2"/>
        <v>0.59515892889122368</v>
      </c>
      <c r="K9" s="5">
        <f t="shared" ca="1" si="9"/>
        <v>101</v>
      </c>
      <c r="L9" s="5">
        <f t="shared" ca="1" si="10"/>
        <v>0.75077818293360188</v>
      </c>
      <c r="M9" s="5">
        <f t="shared" ca="1" si="11"/>
        <v>3</v>
      </c>
      <c r="N9" s="5">
        <f t="shared" ca="1" si="12"/>
        <v>98</v>
      </c>
      <c r="O9" s="5">
        <f t="shared" ca="1" si="3"/>
        <v>2</v>
      </c>
      <c r="P9" s="5">
        <f t="shared" ca="1" si="13"/>
        <v>0</v>
      </c>
    </row>
    <row r="10" spans="1:16" x14ac:dyDescent="0.25">
      <c r="A10" s="5">
        <v>93</v>
      </c>
      <c r="B10" s="5">
        <f t="shared" ca="1" si="0"/>
        <v>0.22295902059037398</v>
      </c>
      <c r="C10" s="5">
        <f t="shared" ca="1" si="4"/>
        <v>98</v>
      </c>
      <c r="D10" s="5">
        <f t="shared" ca="1" si="5"/>
        <v>0.47532650253425557</v>
      </c>
      <c r="E10" s="5">
        <f t="shared" ca="1" si="6"/>
        <v>2</v>
      </c>
      <c r="F10" s="5">
        <f t="shared" ca="1" si="7"/>
        <v>96</v>
      </c>
      <c r="G10" s="5">
        <f t="shared" ca="1" si="1"/>
        <v>4</v>
      </c>
      <c r="H10" s="5">
        <f t="shared" ca="1" si="8"/>
        <v>0</v>
      </c>
      <c r="I10" s="5">
        <v>136</v>
      </c>
      <c r="J10" s="5">
        <f t="shared" ca="1" si="2"/>
        <v>0.39431377582214511</v>
      </c>
      <c r="K10" s="5">
        <f t="shared" ca="1" si="9"/>
        <v>100</v>
      </c>
      <c r="L10" s="5">
        <f t="shared" ca="1" si="10"/>
        <v>0.58392968489782071</v>
      </c>
      <c r="M10" s="5">
        <f t="shared" ca="1" si="11"/>
        <v>3</v>
      </c>
      <c r="N10" s="5">
        <f t="shared" ca="1" si="12"/>
        <v>97</v>
      </c>
      <c r="O10" s="5">
        <f t="shared" ca="1" si="3"/>
        <v>3</v>
      </c>
      <c r="P10" s="5">
        <f t="shared" ca="1" si="13"/>
        <v>0</v>
      </c>
    </row>
    <row r="11" spans="1:16" x14ac:dyDescent="0.25">
      <c r="A11" s="5">
        <v>94</v>
      </c>
      <c r="B11" s="5">
        <f t="shared" ca="1" si="0"/>
        <v>5.5786483258284725E-2</v>
      </c>
      <c r="C11" s="5">
        <f t="shared" ca="1" si="4"/>
        <v>97</v>
      </c>
      <c r="D11" s="5">
        <f t="shared" ca="1" si="5"/>
        <v>0.65414366526674828</v>
      </c>
      <c r="E11" s="5">
        <f t="shared" ca="1" si="6"/>
        <v>3</v>
      </c>
      <c r="F11" s="5">
        <f t="shared" ca="1" si="7"/>
        <v>94</v>
      </c>
      <c r="G11" s="5">
        <f t="shared" ca="1" si="1"/>
        <v>6</v>
      </c>
      <c r="H11" s="5">
        <f t="shared" ca="1" si="8"/>
        <v>0</v>
      </c>
      <c r="I11" s="5">
        <v>137</v>
      </c>
      <c r="J11" s="5">
        <f t="shared" ca="1" si="2"/>
        <v>0.36087911063869937</v>
      </c>
      <c r="K11" s="5">
        <f t="shared" ca="1" si="9"/>
        <v>99</v>
      </c>
      <c r="L11" s="5">
        <f t="shared" ca="1" si="10"/>
        <v>0.90840991594679854</v>
      </c>
      <c r="M11" s="5">
        <f t="shared" ca="1" si="11"/>
        <v>4</v>
      </c>
      <c r="N11" s="5">
        <f t="shared" ca="1" si="12"/>
        <v>95</v>
      </c>
      <c r="O11" s="5">
        <f t="shared" ca="1" si="3"/>
        <v>5</v>
      </c>
      <c r="P11" s="5">
        <f t="shared" ca="1" si="13"/>
        <v>0</v>
      </c>
    </row>
    <row r="12" spans="1:16" x14ac:dyDescent="0.25">
      <c r="A12" s="5">
        <v>95</v>
      </c>
      <c r="B12" s="5">
        <f t="shared" ca="1" si="0"/>
        <v>0.47908452118585965</v>
      </c>
      <c r="C12" s="5">
        <f t="shared" ca="1" si="4"/>
        <v>100</v>
      </c>
      <c r="D12" s="5">
        <f t="shared" ca="1" si="5"/>
        <v>0.2842682390564748</v>
      </c>
      <c r="E12" s="5">
        <f t="shared" ca="1" si="6"/>
        <v>1</v>
      </c>
      <c r="F12" s="5">
        <f t="shared" ca="1" si="7"/>
        <v>99</v>
      </c>
      <c r="G12" s="5">
        <f t="shared" ca="1" si="1"/>
        <v>1</v>
      </c>
      <c r="H12" s="5">
        <f t="shared" ca="1" si="8"/>
        <v>0</v>
      </c>
      <c r="I12" s="5">
        <v>138</v>
      </c>
      <c r="J12" s="5">
        <f t="shared" ca="1" si="2"/>
        <v>0.55057914593535673</v>
      </c>
      <c r="K12" s="5">
        <f t="shared" ca="1" si="9"/>
        <v>101</v>
      </c>
      <c r="L12" s="5">
        <f t="shared" ca="1" si="10"/>
        <v>0.16045222187784391</v>
      </c>
      <c r="M12" s="5">
        <f t="shared" ca="1" si="11"/>
        <v>1</v>
      </c>
      <c r="N12" s="5">
        <f t="shared" ca="1" si="12"/>
        <v>100</v>
      </c>
      <c r="O12" s="5">
        <f t="shared" ca="1" si="3"/>
        <v>0</v>
      </c>
      <c r="P12" s="5">
        <f t="shared" ca="1" si="13"/>
        <v>0</v>
      </c>
    </row>
    <row r="13" spans="1:16" x14ac:dyDescent="0.25">
      <c r="A13" s="5">
        <v>96</v>
      </c>
      <c r="B13" s="5">
        <f t="shared" ca="1" si="0"/>
        <v>0.2168974788331427</v>
      </c>
      <c r="C13" s="5">
        <f t="shared" ca="1" si="4"/>
        <v>98</v>
      </c>
      <c r="D13" s="5">
        <f t="shared" ca="1" si="5"/>
        <v>0.24895881446477863</v>
      </c>
      <c r="E13" s="5">
        <f t="shared" ca="1" si="6"/>
        <v>1</v>
      </c>
      <c r="F13" s="5">
        <f t="shared" ca="1" si="7"/>
        <v>97</v>
      </c>
      <c r="G13" s="5">
        <f t="shared" ca="1" si="1"/>
        <v>3</v>
      </c>
      <c r="H13" s="5">
        <f t="shared" ca="1" si="8"/>
        <v>0</v>
      </c>
      <c r="I13" s="5">
        <v>139</v>
      </c>
      <c r="J13" s="5">
        <f t="shared" ca="1" si="2"/>
        <v>3.5277140590913136E-2</v>
      </c>
      <c r="K13" s="5">
        <f t="shared" ca="1" si="9"/>
        <v>96</v>
      </c>
      <c r="L13" s="5">
        <f t="shared" ca="1" si="10"/>
        <v>0.97764889276799594</v>
      </c>
      <c r="M13" s="5">
        <f t="shared" ca="1" si="11"/>
        <v>5</v>
      </c>
      <c r="N13" s="5">
        <f t="shared" ca="1" si="12"/>
        <v>91</v>
      </c>
      <c r="O13" s="5">
        <f t="shared" ca="1" si="3"/>
        <v>9</v>
      </c>
      <c r="P13" s="5">
        <f t="shared" ca="1" si="13"/>
        <v>0</v>
      </c>
    </row>
    <row r="14" spans="1:16" x14ac:dyDescent="0.25">
      <c r="A14" s="5">
        <v>97</v>
      </c>
      <c r="B14" s="5">
        <f t="shared" ca="1" si="0"/>
        <v>0.79322318309404594</v>
      </c>
      <c r="C14" s="5">
        <f t="shared" ca="1" si="4"/>
        <v>103</v>
      </c>
      <c r="D14" s="5">
        <f t="shared" ca="1" si="5"/>
        <v>0.75556671654876328</v>
      </c>
      <c r="E14" s="5">
        <f t="shared" ca="1" si="6"/>
        <v>3</v>
      </c>
      <c r="F14" s="5">
        <f t="shared" ca="1" si="7"/>
        <v>100</v>
      </c>
      <c r="G14" s="5">
        <f t="shared" ca="1" si="1"/>
        <v>0</v>
      </c>
      <c r="H14" s="5">
        <f t="shared" ca="1" si="8"/>
        <v>0</v>
      </c>
      <c r="I14" s="5">
        <v>140</v>
      </c>
      <c r="J14" s="5">
        <f t="shared" ca="1" si="2"/>
        <v>0.47160040411047743</v>
      </c>
      <c r="K14" s="5">
        <f t="shared" ca="1" si="9"/>
        <v>100</v>
      </c>
      <c r="L14" s="5">
        <f t="shared" ca="1" si="10"/>
        <v>0.89332906774663812</v>
      </c>
      <c r="M14" s="5">
        <f t="shared" ca="1" si="11"/>
        <v>4</v>
      </c>
      <c r="N14" s="5">
        <f t="shared" ca="1" si="12"/>
        <v>96</v>
      </c>
      <c r="O14" s="5">
        <f t="shared" ca="1" si="3"/>
        <v>4</v>
      </c>
      <c r="P14" s="5">
        <f t="shared" ca="1" si="13"/>
        <v>0</v>
      </c>
    </row>
    <row r="15" spans="1:16" x14ac:dyDescent="0.25">
      <c r="A15" s="5">
        <v>98</v>
      </c>
      <c r="B15" s="5">
        <f t="shared" ca="1" si="0"/>
        <v>0.289037828966205</v>
      </c>
      <c r="C15" s="5">
        <f t="shared" ca="1" si="4"/>
        <v>99</v>
      </c>
      <c r="D15" s="5">
        <f t="shared" ca="1" si="5"/>
        <v>0.90813816911553003</v>
      </c>
      <c r="E15" s="5">
        <f t="shared" ca="1" si="6"/>
        <v>4</v>
      </c>
      <c r="F15" s="5">
        <f t="shared" ca="1" si="7"/>
        <v>95</v>
      </c>
      <c r="G15" s="5">
        <f t="shared" ca="1" si="1"/>
        <v>5</v>
      </c>
      <c r="H15" s="5">
        <f t="shared" ca="1" si="8"/>
        <v>0</v>
      </c>
      <c r="I15" s="5">
        <v>141</v>
      </c>
      <c r="J15" s="5">
        <f t="shared" ca="1" si="2"/>
        <v>0.95572915143877513</v>
      </c>
      <c r="K15" s="5">
        <f t="shared" ca="1" si="9"/>
        <v>105</v>
      </c>
      <c r="L15" s="5">
        <f t="shared" ca="1" si="10"/>
        <v>0.75759021838446439</v>
      </c>
      <c r="M15" s="5">
        <f t="shared" ca="1" si="11"/>
        <v>3</v>
      </c>
      <c r="N15" s="5">
        <f t="shared" ca="1" si="12"/>
        <v>102</v>
      </c>
      <c r="O15" s="5">
        <f t="shared" ca="1" si="3"/>
        <v>-2</v>
      </c>
      <c r="P15" s="5">
        <f t="shared" ca="1" si="13"/>
        <v>1</v>
      </c>
    </row>
    <row r="16" spans="1:16" x14ac:dyDescent="0.25">
      <c r="A16" s="5">
        <v>99</v>
      </c>
      <c r="B16" s="5">
        <f t="shared" ca="1" si="0"/>
        <v>0.16782246110110333</v>
      </c>
      <c r="C16" s="5">
        <f t="shared" ca="1" si="4"/>
        <v>98</v>
      </c>
      <c r="D16" s="5">
        <f t="shared" ca="1" si="5"/>
        <v>0.28109387044229273</v>
      </c>
      <c r="E16" s="5">
        <f t="shared" ca="1" si="6"/>
        <v>1</v>
      </c>
      <c r="F16" s="5">
        <f t="shared" ca="1" si="7"/>
        <v>97</v>
      </c>
      <c r="G16" s="5">
        <f t="shared" ca="1" si="1"/>
        <v>3</v>
      </c>
      <c r="H16" s="5">
        <f t="shared" ca="1" si="8"/>
        <v>0</v>
      </c>
      <c r="I16" s="5">
        <v>142</v>
      </c>
      <c r="J16" s="5">
        <f t="shared" ca="1" si="2"/>
        <v>0.46058197062344186</v>
      </c>
      <c r="K16" s="5">
        <f t="shared" ca="1" si="9"/>
        <v>100</v>
      </c>
      <c r="L16" s="5">
        <f t="shared" ca="1" si="10"/>
        <v>0.17319420058959845</v>
      </c>
      <c r="M16" s="5">
        <f t="shared" ca="1" si="11"/>
        <v>1</v>
      </c>
      <c r="N16" s="5">
        <f t="shared" ca="1" si="12"/>
        <v>99</v>
      </c>
      <c r="O16" s="5">
        <f t="shared" ca="1" si="3"/>
        <v>1</v>
      </c>
      <c r="P16" s="5">
        <f t="shared" ca="1" si="13"/>
        <v>0</v>
      </c>
    </row>
    <row r="17" spans="1:16" x14ac:dyDescent="0.25">
      <c r="A17" s="5">
        <v>100</v>
      </c>
      <c r="B17" s="5">
        <f t="shared" ca="1" si="0"/>
        <v>0.76755679651931441</v>
      </c>
      <c r="C17" s="5">
        <f t="shared" ca="1" si="4"/>
        <v>103</v>
      </c>
      <c r="D17" s="5">
        <f t="shared" ca="1" si="5"/>
        <v>0.55305270558223596</v>
      </c>
      <c r="E17" s="5">
        <f t="shared" ca="1" si="6"/>
        <v>3</v>
      </c>
      <c r="F17" s="5">
        <f t="shared" ca="1" si="7"/>
        <v>100</v>
      </c>
      <c r="G17" s="5">
        <f t="shared" ca="1" si="1"/>
        <v>0</v>
      </c>
      <c r="H17" s="5">
        <f t="shared" ca="1" si="8"/>
        <v>0</v>
      </c>
      <c r="I17" s="5">
        <v>143</v>
      </c>
      <c r="J17" s="5">
        <f t="shared" ca="1" si="2"/>
        <v>0.27886584428980932</v>
      </c>
      <c r="K17" s="5">
        <f t="shared" ca="1" si="9"/>
        <v>99</v>
      </c>
      <c r="L17" s="5">
        <f t="shared" ca="1" si="10"/>
        <v>0.9579195611424608</v>
      </c>
      <c r="M17" s="5">
        <f t="shared" ca="1" si="11"/>
        <v>5</v>
      </c>
      <c r="N17" s="5">
        <f t="shared" ca="1" si="12"/>
        <v>94</v>
      </c>
      <c r="O17" s="5">
        <f t="shared" ca="1" si="3"/>
        <v>6</v>
      </c>
      <c r="P17" s="5">
        <f t="shared" ca="1" si="13"/>
        <v>0</v>
      </c>
    </row>
    <row r="18" spans="1:16" x14ac:dyDescent="0.25">
      <c r="A18" s="5">
        <v>101</v>
      </c>
      <c r="B18" s="5">
        <f t="shared" ca="1" si="0"/>
        <v>0.23652151757351203</v>
      </c>
      <c r="C18" s="5">
        <f t="shared" ca="1" si="4"/>
        <v>98</v>
      </c>
      <c r="D18" s="5">
        <f t="shared" ca="1" si="5"/>
        <v>0.1995724593496534</v>
      </c>
      <c r="E18" s="5">
        <f t="shared" ca="1" si="6"/>
        <v>1</v>
      </c>
      <c r="F18" s="5">
        <f t="shared" ca="1" si="7"/>
        <v>97</v>
      </c>
      <c r="G18" s="5">
        <f t="shared" ca="1" si="1"/>
        <v>3</v>
      </c>
      <c r="H18" s="5">
        <f t="shared" ca="1" si="8"/>
        <v>0</v>
      </c>
      <c r="I18" s="5">
        <v>144</v>
      </c>
      <c r="J18" s="5">
        <f t="shared" ca="1" si="2"/>
        <v>0.80046467785767916</v>
      </c>
      <c r="K18" s="5">
        <f t="shared" ca="1" si="9"/>
        <v>103</v>
      </c>
      <c r="L18" s="5">
        <f t="shared" ca="1" si="10"/>
        <v>0.12209557468963095</v>
      </c>
      <c r="M18" s="5">
        <f t="shared" ca="1" si="11"/>
        <v>1</v>
      </c>
      <c r="N18" s="5">
        <f t="shared" ca="1" si="12"/>
        <v>102</v>
      </c>
      <c r="O18" s="5">
        <f t="shared" ca="1" si="3"/>
        <v>-2</v>
      </c>
      <c r="P18" s="5">
        <f t="shared" ca="1" si="13"/>
        <v>1</v>
      </c>
    </row>
    <row r="19" spans="1:16" x14ac:dyDescent="0.25">
      <c r="A19" s="5">
        <v>102</v>
      </c>
      <c r="B19" s="5">
        <f t="shared" ca="1" si="0"/>
        <v>0.71091876990523384</v>
      </c>
      <c r="C19" s="5">
        <f t="shared" ca="1" si="4"/>
        <v>102</v>
      </c>
      <c r="D19" s="5">
        <f t="shared" ca="1" si="5"/>
        <v>0.64608801528195492</v>
      </c>
      <c r="E19" s="5">
        <f t="shared" ca="1" si="6"/>
        <v>3</v>
      </c>
      <c r="F19" s="5">
        <f t="shared" ca="1" si="7"/>
        <v>99</v>
      </c>
      <c r="G19" s="5">
        <f t="shared" ca="1" si="1"/>
        <v>1</v>
      </c>
      <c r="H19" s="5">
        <f t="shared" ca="1" si="8"/>
        <v>0</v>
      </c>
      <c r="I19" s="5">
        <v>145</v>
      </c>
      <c r="J19" s="5">
        <f t="shared" ca="1" si="2"/>
        <v>0.27821896455415285</v>
      </c>
      <c r="K19" s="5">
        <f t="shared" ca="1" si="9"/>
        <v>99</v>
      </c>
      <c r="L19" s="5">
        <f t="shared" ca="1" si="10"/>
        <v>0.89914438841167843</v>
      </c>
      <c r="M19" s="5">
        <f t="shared" ca="1" si="11"/>
        <v>4</v>
      </c>
      <c r="N19" s="5">
        <f t="shared" ca="1" si="12"/>
        <v>95</v>
      </c>
      <c r="O19" s="5">
        <f t="shared" ca="1" si="3"/>
        <v>5</v>
      </c>
      <c r="P19" s="5">
        <f t="shared" ca="1" si="13"/>
        <v>0</v>
      </c>
    </row>
    <row r="20" spans="1:16" x14ac:dyDescent="0.25">
      <c r="A20" s="5">
        <v>103</v>
      </c>
      <c r="B20" s="5">
        <f t="shared" ca="1" si="0"/>
        <v>8.4400239993571713E-3</v>
      </c>
      <c r="C20" s="5">
        <f t="shared" ca="1" si="4"/>
        <v>96</v>
      </c>
      <c r="D20" s="5">
        <f t="shared" ca="1" si="5"/>
        <v>0.28445683435651581</v>
      </c>
      <c r="E20" s="5">
        <f t="shared" ca="1" si="6"/>
        <v>1</v>
      </c>
      <c r="F20" s="5">
        <f t="shared" ca="1" si="7"/>
        <v>95</v>
      </c>
      <c r="G20" s="5">
        <f t="shared" ca="1" si="1"/>
        <v>5</v>
      </c>
      <c r="H20" s="5">
        <f t="shared" ca="1" si="8"/>
        <v>0</v>
      </c>
      <c r="I20" s="5">
        <v>146</v>
      </c>
      <c r="J20" s="5">
        <f t="shared" ca="1" si="2"/>
        <v>0.86639212911043362</v>
      </c>
      <c r="K20" s="5">
        <f t="shared" ca="1" si="9"/>
        <v>104</v>
      </c>
      <c r="L20" s="5">
        <f t="shared" ca="1" si="10"/>
        <v>0.99070782506691946</v>
      </c>
      <c r="M20" s="5">
        <f t="shared" ca="1" si="11"/>
        <v>5</v>
      </c>
      <c r="N20" s="5">
        <f t="shared" ca="1" si="12"/>
        <v>99</v>
      </c>
      <c r="O20" s="5">
        <f t="shared" ca="1" si="3"/>
        <v>1</v>
      </c>
      <c r="P20" s="5">
        <f t="shared" ca="1" si="13"/>
        <v>0</v>
      </c>
    </row>
    <row r="21" spans="1:16" x14ac:dyDescent="0.25">
      <c r="A21" s="5">
        <v>104</v>
      </c>
      <c r="B21" s="5">
        <f t="shared" ca="1" si="0"/>
        <v>9.6333761837867238E-2</v>
      </c>
      <c r="C21" s="5">
        <f t="shared" ca="1" si="4"/>
        <v>97</v>
      </c>
      <c r="D21" s="5">
        <f t="shared" ca="1" si="5"/>
        <v>0.58814153299474758</v>
      </c>
      <c r="E21" s="5">
        <f t="shared" ca="1" si="6"/>
        <v>3</v>
      </c>
      <c r="F21" s="5">
        <f t="shared" ca="1" si="7"/>
        <v>94</v>
      </c>
      <c r="G21" s="5">
        <f t="shared" ca="1" si="1"/>
        <v>6</v>
      </c>
      <c r="H21" s="5">
        <f t="shared" ca="1" si="8"/>
        <v>0</v>
      </c>
      <c r="I21" s="5">
        <v>147</v>
      </c>
      <c r="J21" s="5">
        <f t="shared" ca="1" si="2"/>
        <v>0.76908897311008362</v>
      </c>
      <c r="K21" s="5">
        <f t="shared" ca="1" si="9"/>
        <v>103</v>
      </c>
      <c r="L21" s="5">
        <f t="shared" ca="1" si="10"/>
        <v>0.48860171500643346</v>
      </c>
      <c r="M21" s="5">
        <f t="shared" ca="1" si="11"/>
        <v>2</v>
      </c>
      <c r="N21" s="5">
        <f t="shared" ca="1" si="12"/>
        <v>101</v>
      </c>
      <c r="O21" s="5">
        <f t="shared" ca="1" si="3"/>
        <v>-1</v>
      </c>
      <c r="P21" s="5">
        <f t="shared" ca="1" si="13"/>
        <v>1</v>
      </c>
    </row>
    <row r="22" spans="1:16" x14ac:dyDescent="0.25">
      <c r="A22" s="5">
        <v>105</v>
      </c>
      <c r="B22" s="5">
        <f t="shared" ca="1" si="0"/>
        <v>0.79241693766735788</v>
      </c>
      <c r="C22" s="5">
        <f t="shared" ca="1" si="4"/>
        <v>103</v>
      </c>
      <c r="D22" s="5">
        <f t="shared" ca="1" si="5"/>
        <v>0.63443839393858925</v>
      </c>
      <c r="E22" s="5">
        <f t="shared" ca="1" si="6"/>
        <v>3</v>
      </c>
      <c r="F22" s="5">
        <f t="shared" ca="1" si="7"/>
        <v>100</v>
      </c>
      <c r="G22" s="5">
        <f t="shared" ca="1" si="1"/>
        <v>0</v>
      </c>
      <c r="H22" s="5">
        <f t="shared" ca="1" si="8"/>
        <v>0</v>
      </c>
      <c r="I22" s="5">
        <v>148</v>
      </c>
      <c r="J22" s="5">
        <f t="shared" ca="1" si="2"/>
        <v>0.74972030549193147</v>
      </c>
      <c r="K22" s="5">
        <f t="shared" ca="1" si="9"/>
        <v>103</v>
      </c>
      <c r="L22" s="5">
        <f t="shared" ca="1" si="10"/>
        <v>0.66701267807539288</v>
      </c>
      <c r="M22" s="5">
        <f t="shared" ca="1" si="11"/>
        <v>3</v>
      </c>
      <c r="N22" s="5">
        <f t="shared" ca="1" si="12"/>
        <v>100</v>
      </c>
      <c r="O22" s="5">
        <f t="shared" ca="1" si="3"/>
        <v>0</v>
      </c>
      <c r="P22" s="5">
        <f t="shared" ca="1" si="13"/>
        <v>0</v>
      </c>
    </row>
    <row r="23" spans="1:16" x14ac:dyDescent="0.25">
      <c r="A23" s="5">
        <v>106</v>
      </c>
      <c r="B23" s="5">
        <f t="shared" ca="1" si="0"/>
        <v>0.26073868925553645</v>
      </c>
      <c r="C23" s="5">
        <f t="shared" ca="1" si="4"/>
        <v>98</v>
      </c>
      <c r="D23" s="5">
        <f t="shared" ca="1" si="5"/>
        <v>6.7849788144529244E-2</v>
      </c>
      <c r="E23" s="5">
        <f t="shared" ca="1" si="6"/>
        <v>0</v>
      </c>
      <c r="F23" s="5">
        <f t="shared" ca="1" si="7"/>
        <v>98</v>
      </c>
      <c r="G23" s="5">
        <f t="shared" ca="1" si="1"/>
        <v>2</v>
      </c>
      <c r="H23" s="5">
        <f t="shared" ca="1" si="8"/>
        <v>0</v>
      </c>
      <c r="I23" s="5">
        <v>149</v>
      </c>
      <c r="J23" s="5">
        <f t="shared" ca="1" si="2"/>
        <v>0.94876893867566037</v>
      </c>
      <c r="K23" s="5">
        <f t="shared" ca="1" si="9"/>
        <v>105</v>
      </c>
      <c r="L23" s="5">
        <f t="shared" ca="1" si="10"/>
        <v>0.39323452500573097</v>
      </c>
      <c r="M23" s="5">
        <f t="shared" ca="1" si="11"/>
        <v>2</v>
      </c>
      <c r="N23" s="5">
        <f t="shared" ca="1" si="12"/>
        <v>103</v>
      </c>
      <c r="O23" s="5">
        <f t="shared" ca="1" si="3"/>
        <v>-3</v>
      </c>
      <c r="P23" s="5">
        <f t="shared" ca="1" si="13"/>
        <v>1</v>
      </c>
    </row>
    <row r="24" spans="1:16" x14ac:dyDescent="0.25">
      <c r="A24" s="5">
        <v>107</v>
      </c>
      <c r="B24" s="5">
        <f t="shared" ca="1" si="0"/>
        <v>0.29723045520073044</v>
      </c>
      <c r="C24" s="5">
        <f t="shared" ca="1" si="4"/>
        <v>99</v>
      </c>
      <c r="D24" s="5">
        <f t="shared" ca="1" si="5"/>
        <v>0.78839106045830898</v>
      </c>
      <c r="E24" s="5">
        <f t="shared" ca="1" si="6"/>
        <v>3</v>
      </c>
      <c r="F24" s="5">
        <f t="shared" ca="1" si="7"/>
        <v>96</v>
      </c>
      <c r="G24" s="5">
        <f t="shared" ca="1" si="1"/>
        <v>4</v>
      </c>
      <c r="H24" s="5">
        <f t="shared" ca="1" si="8"/>
        <v>0</v>
      </c>
      <c r="I24" s="5">
        <v>150</v>
      </c>
      <c r="J24" s="5">
        <f t="shared" ca="1" si="2"/>
        <v>0.26960258739707021</v>
      </c>
      <c r="K24" s="5">
        <f t="shared" ca="1" si="9"/>
        <v>98</v>
      </c>
      <c r="L24" s="5">
        <f t="shared" ca="1" si="10"/>
        <v>0.24204955772026726</v>
      </c>
      <c r="M24" s="5">
        <f t="shared" ca="1" si="11"/>
        <v>1</v>
      </c>
      <c r="N24" s="5">
        <f t="shared" ca="1" si="12"/>
        <v>97</v>
      </c>
      <c r="O24" s="5">
        <f t="shared" ca="1" si="3"/>
        <v>3</v>
      </c>
      <c r="P24" s="5">
        <f t="shared" ca="1" si="13"/>
        <v>0</v>
      </c>
    </row>
    <row r="25" spans="1:16" x14ac:dyDescent="0.25">
      <c r="A25" s="5">
        <v>108</v>
      </c>
      <c r="B25" s="5">
        <f t="shared" ca="1" si="0"/>
        <v>0.37268391792850686</v>
      </c>
      <c r="C25" s="5">
        <f t="shared" ca="1" si="4"/>
        <v>99</v>
      </c>
      <c r="D25" s="5">
        <f t="shared" ca="1" si="5"/>
        <v>0.33922906234855921</v>
      </c>
      <c r="E25" s="5">
        <f t="shared" ca="1" si="6"/>
        <v>2</v>
      </c>
      <c r="F25" s="5">
        <f t="shared" ca="1" si="7"/>
        <v>97</v>
      </c>
      <c r="G25" s="5">
        <f t="shared" ca="1" si="1"/>
        <v>3</v>
      </c>
      <c r="H25" s="5">
        <f t="shared" ca="1" si="8"/>
        <v>0</v>
      </c>
      <c r="I25" s="5">
        <v>151</v>
      </c>
      <c r="J25" s="5">
        <f t="shared" ca="1" si="2"/>
        <v>6.4344251675662045E-2</v>
      </c>
      <c r="K25" s="5">
        <f t="shared" ca="1" si="9"/>
        <v>97</v>
      </c>
      <c r="L25" s="5">
        <f t="shared" ca="1" si="10"/>
        <v>0.4416867357390134</v>
      </c>
      <c r="M25" s="5">
        <f t="shared" ca="1" si="11"/>
        <v>2</v>
      </c>
      <c r="N25" s="5">
        <f t="shared" ca="1" si="12"/>
        <v>95</v>
      </c>
      <c r="O25" s="5">
        <f t="shared" ca="1" si="3"/>
        <v>5</v>
      </c>
      <c r="P25" s="5">
        <f t="shared" ca="1" si="13"/>
        <v>0</v>
      </c>
    </row>
    <row r="26" spans="1:16" x14ac:dyDescent="0.25">
      <c r="A26" s="5">
        <v>109</v>
      </c>
      <c r="B26" s="5">
        <f t="shared" ca="1" si="0"/>
        <v>9.8689888624692634E-2</v>
      </c>
      <c r="C26" s="5">
        <f t="shared" ca="1" si="4"/>
        <v>97</v>
      </c>
      <c r="D26" s="5">
        <f t="shared" ca="1" si="5"/>
        <v>0.73102718366092123</v>
      </c>
      <c r="E26" s="5">
        <f t="shared" ca="1" si="6"/>
        <v>3</v>
      </c>
      <c r="F26" s="5">
        <f t="shared" ca="1" si="7"/>
        <v>94</v>
      </c>
      <c r="G26" s="5">
        <f t="shared" ca="1" si="1"/>
        <v>6</v>
      </c>
      <c r="H26" s="5">
        <f t="shared" ca="1" si="8"/>
        <v>0</v>
      </c>
      <c r="I26" s="5">
        <v>152</v>
      </c>
      <c r="J26" s="5">
        <f t="shared" ca="1" si="2"/>
        <v>0.3649728651841132</v>
      </c>
      <c r="K26" s="5">
        <f t="shared" ca="1" si="9"/>
        <v>99</v>
      </c>
      <c r="L26" s="5">
        <f t="shared" ca="1" si="10"/>
        <v>0.64435354664273359</v>
      </c>
      <c r="M26" s="5">
        <f t="shared" ca="1" si="11"/>
        <v>3</v>
      </c>
      <c r="N26" s="5">
        <f t="shared" ca="1" si="12"/>
        <v>96</v>
      </c>
      <c r="O26" s="5">
        <f t="shared" ca="1" si="3"/>
        <v>4</v>
      </c>
      <c r="P26" s="5">
        <f t="shared" ca="1" si="13"/>
        <v>0</v>
      </c>
    </row>
    <row r="27" spans="1:16" x14ac:dyDescent="0.25">
      <c r="A27" s="5">
        <v>110</v>
      </c>
      <c r="B27" s="5">
        <f t="shared" ca="1" si="0"/>
        <v>0.2228391800598517</v>
      </c>
      <c r="C27" s="5">
        <f t="shared" ca="1" si="4"/>
        <v>98</v>
      </c>
      <c r="D27" s="5">
        <f t="shared" ca="1" si="5"/>
        <v>0.59945819704674308</v>
      </c>
      <c r="E27" s="5">
        <f t="shared" ca="1" si="6"/>
        <v>3</v>
      </c>
      <c r="F27" s="5">
        <f t="shared" ca="1" si="7"/>
        <v>95</v>
      </c>
      <c r="G27" s="5">
        <f t="shared" ca="1" si="1"/>
        <v>5</v>
      </c>
      <c r="H27" s="5">
        <f t="shared" ca="1" si="8"/>
        <v>0</v>
      </c>
      <c r="I27" s="5">
        <v>153</v>
      </c>
      <c r="J27" s="5">
        <f t="shared" ca="1" si="2"/>
        <v>6.4217407508256885E-2</v>
      </c>
      <c r="K27" s="5">
        <f t="shared" ca="1" si="9"/>
        <v>97</v>
      </c>
      <c r="L27" s="5">
        <f t="shared" ca="1" si="10"/>
        <v>0.78343715863176566</v>
      </c>
      <c r="M27" s="5">
        <f t="shared" ca="1" si="11"/>
        <v>3</v>
      </c>
      <c r="N27" s="5">
        <f t="shared" ca="1" si="12"/>
        <v>94</v>
      </c>
      <c r="O27" s="5">
        <f t="shared" ca="1" si="3"/>
        <v>6</v>
      </c>
      <c r="P27" s="5">
        <f t="shared" ca="1" si="13"/>
        <v>0</v>
      </c>
    </row>
    <row r="28" spans="1:16" x14ac:dyDescent="0.25">
      <c r="A28" s="5">
        <v>111</v>
      </c>
      <c r="B28" s="5">
        <f t="shared" ca="1" si="0"/>
        <v>0.52284253835530936</v>
      </c>
      <c r="C28" s="5">
        <f t="shared" ca="1" si="4"/>
        <v>101</v>
      </c>
      <c r="D28" s="5">
        <f t="shared" ca="1" si="5"/>
        <v>0.18823823426540154</v>
      </c>
      <c r="E28" s="5">
        <f t="shared" ca="1" si="6"/>
        <v>1</v>
      </c>
      <c r="F28" s="5">
        <f t="shared" ca="1" si="7"/>
        <v>100</v>
      </c>
      <c r="G28" s="5">
        <f t="shared" ca="1" si="1"/>
        <v>0</v>
      </c>
      <c r="H28" s="5">
        <f t="shared" ca="1" si="8"/>
        <v>0</v>
      </c>
      <c r="I28" s="5">
        <v>154</v>
      </c>
      <c r="J28" s="5">
        <f t="shared" ca="1" si="2"/>
        <v>0.79818095570325276</v>
      </c>
      <c r="K28" s="5">
        <f t="shared" ca="1" si="9"/>
        <v>103</v>
      </c>
      <c r="L28" s="5">
        <f t="shared" ca="1" si="10"/>
        <v>0.50116501627050702</v>
      </c>
      <c r="M28" s="5">
        <f t="shared" ca="1" si="11"/>
        <v>2</v>
      </c>
      <c r="N28" s="5">
        <f t="shared" ca="1" si="12"/>
        <v>101</v>
      </c>
      <c r="O28" s="5">
        <f t="shared" ca="1" si="3"/>
        <v>-1</v>
      </c>
      <c r="P28" s="5">
        <f t="shared" ca="1" si="13"/>
        <v>1</v>
      </c>
    </row>
    <row r="29" spans="1:16" x14ac:dyDescent="0.25">
      <c r="A29" s="5">
        <v>112</v>
      </c>
      <c r="B29" s="5">
        <f t="shared" ca="1" si="0"/>
        <v>0.33234467659475198</v>
      </c>
      <c r="C29" s="5">
        <f t="shared" ca="1" si="4"/>
        <v>99</v>
      </c>
      <c r="D29" s="5">
        <f t="shared" ca="1" si="5"/>
        <v>0.81532523860492589</v>
      </c>
      <c r="E29" s="5">
        <f t="shared" ca="1" si="6"/>
        <v>3</v>
      </c>
      <c r="F29" s="5">
        <f t="shared" ca="1" si="7"/>
        <v>96</v>
      </c>
      <c r="G29" s="5">
        <f t="shared" ca="1" si="1"/>
        <v>4</v>
      </c>
      <c r="H29" s="5">
        <f t="shared" ca="1" si="8"/>
        <v>0</v>
      </c>
      <c r="I29" s="5">
        <v>155</v>
      </c>
      <c r="J29" s="5">
        <f t="shared" ca="1" si="2"/>
        <v>0.1711483912938554</v>
      </c>
      <c r="K29" s="5">
        <f t="shared" ca="1" si="9"/>
        <v>98</v>
      </c>
      <c r="L29" s="5">
        <f t="shared" ca="1" si="10"/>
        <v>0.6586610506764311</v>
      </c>
      <c r="M29" s="5">
        <f t="shared" ca="1" si="11"/>
        <v>3</v>
      </c>
      <c r="N29" s="5">
        <f t="shared" ca="1" si="12"/>
        <v>95</v>
      </c>
      <c r="O29" s="5">
        <f t="shared" ca="1" si="3"/>
        <v>5</v>
      </c>
      <c r="P29" s="5">
        <f t="shared" ca="1" si="13"/>
        <v>0</v>
      </c>
    </row>
    <row r="30" spans="1:16" x14ac:dyDescent="0.25">
      <c r="A30" s="5">
        <v>113</v>
      </c>
      <c r="B30" s="5">
        <f t="shared" ca="1" si="0"/>
        <v>0.90314186748118364</v>
      </c>
      <c r="C30" s="5">
        <f t="shared" ca="1" si="4"/>
        <v>104</v>
      </c>
      <c r="D30" s="5">
        <f t="shared" ca="1" si="5"/>
        <v>0.54103402564667602</v>
      </c>
      <c r="E30" s="5">
        <f t="shared" ca="1" si="6"/>
        <v>2</v>
      </c>
      <c r="F30" s="5">
        <f t="shared" ca="1" si="7"/>
        <v>102</v>
      </c>
      <c r="G30" s="5">
        <f t="shared" ca="1" si="1"/>
        <v>-2</v>
      </c>
      <c r="H30" s="5">
        <f t="shared" ca="1" si="8"/>
        <v>1</v>
      </c>
      <c r="I30" s="5">
        <v>156</v>
      </c>
      <c r="J30" s="5">
        <f t="shared" ca="1" si="2"/>
        <v>0.621361546943761</v>
      </c>
      <c r="K30" s="5">
        <f t="shared" ca="1" si="9"/>
        <v>102</v>
      </c>
      <c r="L30" s="5">
        <f t="shared" ca="1" si="10"/>
        <v>0.29284429776384902</v>
      </c>
      <c r="M30" s="5">
        <f t="shared" ca="1" si="11"/>
        <v>1</v>
      </c>
      <c r="N30" s="5">
        <f t="shared" ca="1" si="12"/>
        <v>101</v>
      </c>
      <c r="O30" s="5">
        <f t="shared" ca="1" si="3"/>
        <v>-1</v>
      </c>
      <c r="P30" s="5">
        <f t="shared" ca="1" si="13"/>
        <v>1</v>
      </c>
    </row>
    <row r="31" spans="1:16" x14ac:dyDescent="0.25">
      <c r="A31" s="5">
        <v>114</v>
      </c>
      <c r="B31" s="5">
        <f t="shared" ca="1" si="0"/>
        <v>0.95555766046771995</v>
      </c>
      <c r="C31" s="5">
        <f t="shared" ca="1" si="4"/>
        <v>105</v>
      </c>
      <c r="D31" s="5">
        <f t="shared" ca="1" si="5"/>
        <v>0.17824887867631201</v>
      </c>
      <c r="E31" s="5">
        <f t="shared" ca="1" si="6"/>
        <v>1</v>
      </c>
      <c r="F31" s="5">
        <f t="shared" ca="1" si="7"/>
        <v>104</v>
      </c>
      <c r="G31" s="5">
        <f t="shared" ca="1" si="1"/>
        <v>-4</v>
      </c>
      <c r="H31" s="5">
        <f t="shared" ca="1" si="8"/>
        <v>1</v>
      </c>
      <c r="I31" s="5">
        <v>157</v>
      </c>
      <c r="J31" s="5">
        <f t="shared" ca="1" si="2"/>
        <v>6.0481977977267287E-2</v>
      </c>
      <c r="K31" s="5">
        <f t="shared" ca="1" si="9"/>
        <v>97</v>
      </c>
      <c r="L31" s="5">
        <f t="shared" ca="1" si="10"/>
        <v>0.40484246270046853</v>
      </c>
      <c r="M31" s="5">
        <f t="shared" ca="1" si="11"/>
        <v>2</v>
      </c>
      <c r="N31" s="5">
        <f t="shared" ca="1" si="12"/>
        <v>95</v>
      </c>
      <c r="O31" s="5">
        <f t="shared" ca="1" si="3"/>
        <v>5</v>
      </c>
      <c r="P31" s="5">
        <f t="shared" ca="1" si="13"/>
        <v>0</v>
      </c>
    </row>
    <row r="32" spans="1:16" x14ac:dyDescent="0.25">
      <c r="A32" s="5">
        <v>115</v>
      </c>
      <c r="B32" s="5">
        <f t="shared" ca="1" si="0"/>
        <v>3.3737946740478142E-2</v>
      </c>
      <c r="C32" s="5">
        <f t="shared" ca="1" si="4"/>
        <v>96</v>
      </c>
      <c r="D32" s="5">
        <f t="shared" ca="1" si="5"/>
        <v>0.35294376253191617</v>
      </c>
      <c r="E32" s="5">
        <f t="shared" ca="1" si="6"/>
        <v>2</v>
      </c>
      <c r="F32" s="5">
        <f t="shared" ca="1" si="7"/>
        <v>94</v>
      </c>
      <c r="G32" s="5">
        <f t="shared" ca="1" si="1"/>
        <v>6</v>
      </c>
      <c r="H32" s="5">
        <f t="shared" ca="1" si="8"/>
        <v>0</v>
      </c>
      <c r="I32" s="5">
        <v>158</v>
      </c>
      <c r="J32" s="5">
        <f t="shared" ca="1" si="2"/>
        <v>0.53260123158998207</v>
      </c>
      <c r="K32" s="5">
        <f t="shared" ca="1" si="9"/>
        <v>101</v>
      </c>
      <c r="L32" s="5">
        <f t="shared" ca="1" si="10"/>
        <v>0.51886356302295744</v>
      </c>
      <c r="M32" s="5">
        <f t="shared" ca="1" si="11"/>
        <v>2</v>
      </c>
      <c r="N32" s="5">
        <f t="shared" ca="1" si="12"/>
        <v>99</v>
      </c>
      <c r="O32" s="5">
        <f t="shared" ca="1" si="3"/>
        <v>1</v>
      </c>
      <c r="P32" s="5">
        <f t="shared" ca="1" si="13"/>
        <v>0</v>
      </c>
    </row>
    <row r="33" spans="1:16" x14ac:dyDescent="0.25">
      <c r="A33" s="5">
        <v>116</v>
      </c>
      <c r="B33" s="5">
        <f t="shared" ca="1" si="0"/>
        <v>0.87452930067157786</v>
      </c>
      <c r="C33" s="5">
        <f t="shared" ca="1" si="4"/>
        <v>104</v>
      </c>
      <c r="D33" s="5">
        <f t="shared" ca="1" si="5"/>
        <v>0.17633129257328528</v>
      </c>
      <c r="E33" s="5">
        <f t="shared" ca="1" si="6"/>
        <v>1</v>
      </c>
      <c r="F33" s="5">
        <f t="shared" ca="1" si="7"/>
        <v>103</v>
      </c>
      <c r="G33" s="5">
        <f t="shared" ca="1" si="1"/>
        <v>-3</v>
      </c>
      <c r="H33" s="5">
        <f t="shared" ca="1" si="8"/>
        <v>1</v>
      </c>
      <c r="I33" s="5">
        <v>159</v>
      </c>
      <c r="J33" s="5">
        <f t="shared" ca="1" si="2"/>
        <v>0.69239030154514092</v>
      </c>
      <c r="K33" s="5">
        <f t="shared" ca="1" si="9"/>
        <v>102</v>
      </c>
      <c r="L33" s="5">
        <f t="shared" ca="1" si="10"/>
        <v>0.63202447798803951</v>
      </c>
      <c r="M33" s="5">
        <f t="shared" ca="1" si="11"/>
        <v>3</v>
      </c>
      <c r="N33" s="5">
        <f t="shared" ca="1" si="12"/>
        <v>99</v>
      </c>
      <c r="O33" s="5">
        <f t="shared" ca="1" si="3"/>
        <v>1</v>
      </c>
      <c r="P33" s="5">
        <f t="shared" ca="1" si="13"/>
        <v>0</v>
      </c>
    </row>
    <row r="34" spans="1:16" x14ac:dyDescent="0.25">
      <c r="A34" s="5">
        <v>117</v>
      </c>
      <c r="B34" s="5">
        <f t="shared" ca="1" si="0"/>
        <v>0.76960107148899926</v>
      </c>
      <c r="C34" s="5">
        <f t="shared" ca="1" si="4"/>
        <v>103</v>
      </c>
      <c r="D34" s="5">
        <f t="shared" ca="1" si="5"/>
        <v>0.43701971313420385</v>
      </c>
      <c r="E34" s="5">
        <f t="shared" ca="1" si="6"/>
        <v>2</v>
      </c>
      <c r="F34" s="5">
        <f t="shared" ca="1" si="7"/>
        <v>101</v>
      </c>
      <c r="G34" s="5">
        <f t="shared" ca="1" si="1"/>
        <v>-1</v>
      </c>
      <c r="H34" s="5">
        <f t="shared" ca="1" si="8"/>
        <v>1</v>
      </c>
      <c r="I34" s="5">
        <v>160</v>
      </c>
      <c r="J34" s="5">
        <f t="shared" ca="1" si="2"/>
        <v>0.86227712492994824</v>
      </c>
      <c r="K34" s="5">
        <f t="shared" ca="1" si="9"/>
        <v>104</v>
      </c>
      <c r="L34" s="5">
        <f t="shared" ca="1" si="10"/>
        <v>0.70754935991269563</v>
      </c>
      <c r="M34" s="5">
        <f t="shared" ca="1" si="11"/>
        <v>3</v>
      </c>
      <c r="N34" s="5">
        <f t="shared" ca="1" si="12"/>
        <v>101</v>
      </c>
      <c r="O34" s="5">
        <f t="shared" ca="1" si="3"/>
        <v>-1</v>
      </c>
      <c r="P34" s="5">
        <f t="shared" ca="1" si="13"/>
        <v>1</v>
      </c>
    </row>
    <row r="35" spans="1:16" x14ac:dyDescent="0.25">
      <c r="A35" s="5">
        <v>118</v>
      </c>
      <c r="B35" s="5">
        <f t="shared" ca="1" si="0"/>
        <v>0.48554695185884889</v>
      </c>
      <c r="C35" s="5">
        <f t="shared" ca="1" si="4"/>
        <v>100</v>
      </c>
      <c r="D35" s="5">
        <f t="shared" ca="1" si="5"/>
        <v>0.21068342989934208</v>
      </c>
      <c r="E35" s="5">
        <f t="shared" ca="1" si="6"/>
        <v>1</v>
      </c>
      <c r="F35" s="5">
        <f t="shared" ca="1" si="7"/>
        <v>99</v>
      </c>
      <c r="G35" s="5">
        <f t="shared" ca="1" si="1"/>
        <v>1</v>
      </c>
      <c r="H35" s="5">
        <f t="shared" ca="1" si="8"/>
        <v>0</v>
      </c>
      <c r="I35" s="5">
        <v>161</v>
      </c>
      <c r="J35" s="5">
        <f t="shared" ca="1" si="2"/>
        <v>0.11931549234549654</v>
      </c>
      <c r="K35" s="5">
        <f t="shared" ca="1" si="9"/>
        <v>97</v>
      </c>
      <c r="L35" s="5">
        <f t="shared" ca="1" si="10"/>
        <v>0.19325525642026786</v>
      </c>
      <c r="M35" s="5">
        <f t="shared" ca="1" si="11"/>
        <v>1</v>
      </c>
      <c r="N35" s="5">
        <f t="shared" ca="1" si="12"/>
        <v>96</v>
      </c>
      <c r="O35" s="5">
        <f t="shared" ca="1" si="3"/>
        <v>4</v>
      </c>
      <c r="P35" s="5">
        <f t="shared" ca="1" si="13"/>
        <v>0</v>
      </c>
    </row>
    <row r="36" spans="1:16" x14ac:dyDescent="0.25">
      <c r="A36" s="5">
        <v>119</v>
      </c>
      <c r="B36" s="5">
        <f t="shared" ca="1" si="0"/>
        <v>0.77382285930586203</v>
      </c>
      <c r="C36" s="5">
        <f t="shared" ca="1" si="4"/>
        <v>103</v>
      </c>
      <c r="D36" s="5">
        <f t="shared" ca="1" si="5"/>
        <v>0.19464149052653712</v>
      </c>
      <c r="E36" s="5">
        <f t="shared" ca="1" si="6"/>
        <v>1</v>
      </c>
      <c r="F36" s="5">
        <f t="shared" ca="1" si="7"/>
        <v>102</v>
      </c>
      <c r="G36" s="5">
        <f t="shared" ca="1" si="1"/>
        <v>-2</v>
      </c>
      <c r="H36" s="5">
        <f t="shared" ca="1" si="8"/>
        <v>1</v>
      </c>
      <c r="I36" s="5">
        <v>162</v>
      </c>
      <c r="J36" s="5">
        <f t="shared" ca="1" si="2"/>
        <v>0.4926705537589734</v>
      </c>
      <c r="K36" s="5">
        <f t="shared" ca="1" si="9"/>
        <v>100</v>
      </c>
      <c r="L36" s="5">
        <f t="shared" ca="1" si="10"/>
        <v>0.88083266250527281</v>
      </c>
      <c r="M36" s="5">
        <f t="shared" ca="1" si="11"/>
        <v>4</v>
      </c>
      <c r="N36" s="5">
        <f t="shared" ca="1" si="12"/>
        <v>96</v>
      </c>
      <c r="O36" s="5">
        <f t="shared" ca="1" si="3"/>
        <v>4</v>
      </c>
      <c r="P36" s="5">
        <f t="shared" ca="1" si="13"/>
        <v>0</v>
      </c>
    </row>
    <row r="37" spans="1:16" x14ac:dyDescent="0.25">
      <c r="A37" s="5">
        <v>120</v>
      </c>
      <c r="B37" s="5">
        <f t="shared" ca="1" si="0"/>
        <v>0.27683074080544467</v>
      </c>
      <c r="C37" s="5">
        <f t="shared" ca="1" si="4"/>
        <v>98</v>
      </c>
      <c r="D37" s="5">
        <f t="shared" ca="1" si="5"/>
        <v>3.2026137350574246E-2</v>
      </c>
      <c r="E37" s="5">
        <f t="shared" ca="1" si="6"/>
        <v>0</v>
      </c>
      <c r="F37" s="5">
        <f t="shared" ca="1" si="7"/>
        <v>98</v>
      </c>
      <c r="G37" s="5">
        <f t="shared" ca="1" si="1"/>
        <v>2</v>
      </c>
      <c r="H37" s="5">
        <f t="shared" ca="1" si="8"/>
        <v>0</v>
      </c>
      <c r="I37" s="5">
        <v>163</v>
      </c>
      <c r="J37" s="5">
        <f t="shared" ca="1" si="2"/>
        <v>0.26947544448875571</v>
      </c>
      <c r="K37" s="5">
        <f t="shared" ca="1" si="9"/>
        <v>98</v>
      </c>
      <c r="L37" s="5">
        <f t="shared" ca="1" si="10"/>
        <v>0.31148575863879069</v>
      </c>
      <c r="M37" s="5">
        <f t="shared" ca="1" si="11"/>
        <v>2</v>
      </c>
      <c r="N37" s="5">
        <f t="shared" ca="1" si="12"/>
        <v>96</v>
      </c>
      <c r="O37" s="5">
        <f t="shared" ca="1" si="3"/>
        <v>4</v>
      </c>
      <c r="P37" s="5">
        <f t="shared" ca="1" si="13"/>
        <v>0</v>
      </c>
    </row>
    <row r="38" spans="1:16" x14ac:dyDescent="0.25">
      <c r="A38" s="5">
        <v>121</v>
      </c>
      <c r="B38" s="5">
        <f t="shared" ca="1" si="0"/>
        <v>0.65520033338935979</v>
      </c>
      <c r="C38" s="5">
        <f t="shared" ca="1" si="4"/>
        <v>102</v>
      </c>
      <c r="D38" s="5">
        <f t="shared" ca="1" si="5"/>
        <v>0.9523965641541916</v>
      </c>
      <c r="E38" s="5">
        <f t="shared" ca="1" si="6"/>
        <v>5</v>
      </c>
      <c r="F38" s="5">
        <f t="shared" ca="1" si="7"/>
        <v>97</v>
      </c>
      <c r="G38" s="5">
        <f t="shared" ca="1" si="1"/>
        <v>3</v>
      </c>
      <c r="H38" s="5">
        <f t="shared" ca="1" si="8"/>
        <v>0</v>
      </c>
      <c r="I38" s="5">
        <v>164</v>
      </c>
      <c r="J38" s="5">
        <f t="shared" ca="1" si="2"/>
        <v>1.2595612771902687E-2</v>
      </c>
      <c r="K38" s="5">
        <f t="shared" ca="1" si="9"/>
        <v>96</v>
      </c>
      <c r="L38" s="5">
        <f t="shared" ca="1" si="10"/>
        <v>0.90524048096242948</v>
      </c>
      <c r="M38" s="5">
        <f t="shared" ca="1" si="11"/>
        <v>4</v>
      </c>
      <c r="N38" s="5">
        <f t="shared" ca="1" si="12"/>
        <v>92</v>
      </c>
      <c r="O38" s="5">
        <f t="shared" ca="1" si="3"/>
        <v>8</v>
      </c>
      <c r="P38" s="5">
        <f t="shared" ca="1" si="13"/>
        <v>0</v>
      </c>
    </row>
    <row r="39" spans="1:16" x14ac:dyDescent="0.25">
      <c r="A39" s="5">
        <v>122</v>
      </c>
      <c r="B39" s="5">
        <f t="shared" ca="1" si="0"/>
        <v>0.42907465173509951</v>
      </c>
      <c r="C39" s="5">
        <f t="shared" ca="1" si="4"/>
        <v>100</v>
      </c>
      <c r="D39" s="5">
        <f t="shared" ca="1" si="5"/>
        <v>0.45286753292483306</v>
      </c>
      <c r="E39" s="5">
        <f t="shared" ca="1" si="6"/>
        <v>2</v>
      </c>
      <c r="F39" s="5">
        <f t="shared" ca="1" si="7"/>
        <v>98</v>
      </c>
      <c r="G39" s="5">
        <f t="shared" ca="1" si="1"/>
        <v>2</v>
      </c>
      <c r="H39" s="5">
        <f t="shared" ca="1" si="8"/>
        <v>0</v>
      </c>
      <c r="I39" s="5">
        <v>165</v>
      </c>
      <c r="J39" s="5">
        <f t="shared" ca="1" si="2"/>
        <v>0.8157608214282569</v>
      </c>
      <c r="K39" s="5">
        <f t="shared" ca="1" si="9"/>
        <v>103</v>
      </c>
      <c r="L39" s="5">
        <f t="shared" ca="1" si="10"/>
        <v>0.72150243450032592</v>
      </c>
      <c r="M39" s="5">
        <f t="shared" ca="1" si="11"/>
        <v>3</v>
      </c>
      <c r="N39" s="5">
        <f t="shared" ca="1" si="12"/>
        <v>100</v>
      </c>
      <c r="O39" s="5">
        <f t="shared" ca="1" si="3"/>
        <v>0</v>
      </c>
      <c r="P39" s="5">
        <f t="shared" ca="1" si="13"/>
        <v>0</v>
      </c>
    </row>
    <row r="40" spans="1:16" x14ac:dyDescent="0.25">
      <c r="A40" s="5">
        <v>123</v>
      </c>
      <c r="B40" s="5">
        <f t="shared" ca="1" si="0"/>
        <v>0.52201441472007726</v>
      </c>
      <c r="C40" s="5">
        <f t="shared" ca="1" si="4"/>
        <v>101</v>
      </c>
      <c r="D40" s="5">
        <f t="shared" ca="1" si="5"/>
        <v>0.17228928554062639</v>
      </c>
      <c r="E40" s="5">
        <f t="shared" ca="1" si="6"/>
        <v>1</v>
      </c>
      <c r="F40" s="5">
        <f t="shared" ca="1" si="7"/>
        <v>100</v>
      </c>
      <c r="G40" s="5">
        <f t="shared" ca="1" si="1"/>
        <v>0</v>
      </c>
      <c r="H40" s="5">
        <f t="shared" ca="1" si="8"/>
        <v>0</v>
      </c>
      <c r="I40" s="5">
        <v>166</v>
      </c>
      <c r="J40" s="5">
        <f t="shared" ca="1" si="2"/>
        <v>0.55564514707488455</v>
      </c>
      <c r="K40" s="5">
        <f t="shared" ca="1" si="9"/>
        <v>101</v>
      </c>
      <c r="L40" s="5">
        <f t="shared" ca="1" si="10"/>
        <v>2.0672082005464332E-2</v>
      </c>
      <c r="M40" s="5">
        <f t="shared" ca="1" si="11"/>
        <v>0</v>
      </c>
      <c r="N40" s="5">
        <f t="shared" ca="1" si="12"/>
        <v>101</v>
      </c>
      <c r="O40" s="5">
        <f t="shared" ca="1" si="3"/>
        <v>-1</v>
      </c>
      <c r="P40" s="5">
        <f t="shared" ca="1" si="13"/>
        <v>1</v>
      </c>
    </row>
    <row r="41" spans="1:16" x14ac:dyDescent="0.25">
      <c r="A41" s="5">
        <v>124</v>
      </c>
      <c r="B41" s="5">
        <f t="shared" ca="1" si="0"/>
        <v>0.86345261346238411</v>
      </c>
      <c r="C41" s="5">
        <f t="shared" ca="1" si="4"/>
        <v>104</v>
      </c>
      <c r="D41" s="5">
        <f t="shared" ca="1" si="5"/>
        <v>4.1994024244057626E-2</v>
      </c>
      <c r="E41" s="5">
        <f t="shared" ca="1" si="6"/>
        <v>0</v>
      </c>
      <c r="F41" s="5">
        <f t="shared" ca="1" si="7"/>
        <v>104</v>
      </c>
      <c r="G41" s="5">
        <f t="shared" ca="1" si="1"/>
        <v>-4</v>
      </c>
      <c r="H41" s="5">
        <f t="shared" ca="1" si="8"/>
        <v>1</v>
      </c>
      <c r="I41" s="5">
        <v>167</v>
      </c>
      <c r="J41" s="5">
        <f t="shared" ca="1" si="2"/>
        <v>0.8243242397093915</v>
      </c>
      <c r="K41" s="5">
        <f t="shared" ca="1" si="9"/>
        <v>103</v>
      </c>
      <c r="L41" s="5">
        <f t="shared" ca="1" si="10"/>
        <v>0.89202296970152228</v>
      </c>
      <c r="M41" s="5">
        <f t="shared" ca="1" si="11"/>
        <v>4</v>
      </c>
      <c r="N41" s="5">
        <f t="shared" ca="1" si="12"/>
        <v>99</v>
      </c>
      <c r="O41" s="5">
        <f t="shared" ca="1" si="3"/>
        <v>1</v>
      </c>
      <c r="P41" s="5">
        <f t="shared" ca="1" si="13"/>
        <v>0</v>
      </c>
    </row>
    <row r="42" spans="1:16" x14ac:dyDescent="0.25">
      <c r="A42" s="5">
        <v>125</v>
      </c>
      <c r="B42" s="5">
        <f t="shared" ca="1" si="0"/>
        <v>0.37773191253195648</v>
      </c>
      <c r="C42" s="5">
        <f t="shared" ca="1" si="4"/>
        <v>99</v>
      </c>
      <c r="D42" s="5">
        <f t="shared" ca="1" si="5"/>
        <v>0.38388531070693754</v>
      </c>
      <c r="E42" s="5">
        <f t="shared" ca="1" si="6"/>
        <v>2</v>
      </c>
      <c r="F42" s="5">
        <f t="shared" ca="1" si="7"/>
        <v>97</v>
      </c>
      <c r="G42" s="5">
        <f t="shared" ca="1" si="1"/>
        <v>3</v>
      </c>
      <c r="H42" s="5">
        <f t="shared" ca="1" si="8"/>
        <v>0</v>
      </c>
      <c r="I42" s="5">
        <v>168</v>
      </c>
      <c r="J42" s="5">
        <f t="shared" ca="1" si="2"/>
        <v>0.3562969123302655</v>
      </c>
      <c r="K42" s="5">
        <f t="shared" ca="1" si="9"/>
        <v>99</v>
      </c>
      <c r="L42" s="5">
        <f t="shared" ca="1" si="10"/>
        <v>0.13626870987953277</v>
      </c>
      <c r="M42" s="5">
        <f t="shared" ca="1" si="11"/>
        <v>1</v>
      </c>
      <c r="N42" s="5">
        <f t="shared" ca="1" si="12"/>
        <v>98</v>
      </c>
      <c r="O42" s="5">
        <f t="shared" ca="1" si="3"/>
        <v>2</v>
      </c>
      <c r="P42" s="5">
        <f t="shared" ca="1" si="13"/>
        <v>0</v>
      </c>
    </row>
    <row r="43" spans="1:16" x14ac:dyDescent="0.25">
      <c r="A43" s="5">
        <v>126</v>
      </c>
      <c r="B43" s="5">
        <f t="shared" ca="1" si="0"/>
        <v>0.42714267303539277</v>
      </c>
      <c r="C43" s="5">
        <f t="shared" ca="1" si="4"/>
        <v>100</v>
      </c>
      <c r="D43" s="5">
        <f t="shared" ca="1" si="5"/>
        <v>0.50470824911058487</v>
      </c>
      <c r="E43" s="5">
        <f t="shared" ca="1" si="6"/>
        <v>2</v>
      </c>
      <c r="F43" s="5">
        <f t="shared" ca="1" si="7"/>
        <v>98</v>
      </c>
      <c r="G43" s="5">
        <f t="shared" ca="1" si="1"/>
        <v>2</v>
      </c>
      <c r="H43" s="5">
        <f t="shared" ca="1" si="8"/>
        <v>0</v>
      </c>
      <c r="I43" s="5">
        <v>169</v>
      </c>
      <c r="J43" s="5">
        <f t="shared" ca="1" si="2"/>
        <v>9.4798709993094032E-2</v>
      </c>
      <c r="K43" s="5">
        <f t="shared" ca="1" si="9"/>
        <v>97</v>
      </c>
      <c r="L43" s="5">
        <f t="shared" ca="1" si="10"/>
        <v>1.0591026469641163E-2</v>
      </c>
      <c r="M43" s="5">
        <f t="shared" ca="1" si="11"/>
        <v>0</v>
      </c>
      <c r="N43" s="5">
        <f t="shared" ca="1" si="12"/>
        <v>97</v>
      </c>
      <c r="O43" s="5">
        <f t="shared" ca="1" si="3"/>
        <v>3</v>
      </c>
      <c r="P43" s="5">
        <f t="shared" ca="1" si="13"/>
        <v>0</v>
      </c>
    </row>
    <row r="44" spans="1:16" x14ac:dyDescent="0.25">
      <c r="A44" s="5">
        <v>127</v>
      </c>
      <c r="B44" s="5">
        <f t="shared" ca="1" si="0"/>
        <v>0.26452643331195702</v>
      </c>
      <c r="C44" s="5">
        <f t="shared" ca="1" si="4"/>
        <v>98</v>
      </c>
      <c r="D44" s="5">
        <f t="shared" ca="1" si="5"/>
        <v>0.77287783301626511</v>
      </c>
      <c r="E44" s="5">
        <f t="shared" ca="1" si="6"/>
        <v>3</v>
      </c>
      <c r="F44" s="5">
        <f t="shared" ca="1" si="7"/>
        <v>95</v>
      </c>
      <c r="G44" s="5">
        <f t="shared" ca="1" si="1"/>
        <v>5</v>
      </c>
      <c r="H44" s="5">
        <f t="shared" ca="1" si="8"/>
        <v>0</v>
      </c>
      <c r="I44" s="5">
        <v>170</v>
      </c>
      <c r="J44" s="5">
        <f t="shared" ca="1" si="2"/>
        <v>0.14316929590573857</v>
      </c>
      <c r="K44" s="5">
        <f t="shared" ca="1" si="9"/>
        <v>97</v>
      </c>
      <c r="L44" s="5">
        <f t="shared" ca="1" si="10"/>
        <v>0.77332788720300871</v>
      </c>
      <c r="M44" s="5">
        <f t="shared" ca="1" si="11"/>
        <v>3</v>
      </c>
      <c r="N44" s="5">
        <f t="shared" ca="1" si="12"/>
        <v>94</v>
      </c>
      <c r="O44" s="5">
        <f t="shared" ca="1" si="3"/>
        <v>6</v>
      </c>
      <c r="P44" s="5">
        <f t="shared" ca="1" si="13"/>
        <v>0</v>
      </c>
    </row>
    <row r="45" spans="1:16" x14ac:dyDescent="0.25">
      <c r="A45" s="5">
        <v>128</v>
      </c>
      <c r="B45" s="5">
        <f t="shared" ca="1" si="0"/>
        <v>0.31673659393442832</v>
      </c>
      <c r="C45" s="5">
        <f t="shared" ca="1" si="4"/>
        <v>99</v>
      </c>
      <c r="D45" s="5">
        <f t="shared" ca="1" si="5"/>
        <v>0.24052388437661865</v>
      </c>
      <c r="E45" s="5">
        <f t="shared" ca="1" si="6"/>
        <v>1</v>
      </c>
      <c r="F45" s="5">
        <f t="shared" ca="1" si="7"/>
        <v>98</v>
      </c>
      <c r="G45" s="5">
        <f t="shared" ca="1" si="1"/>
        <v>2</v>
      </c>
      <c r="H45" s="5">
        <f t="shared" ca="1" si="8"/>
        <v>0</v>
      </c>
      <c r="I45" s="5">
        <v>171</v>
      </c>
      <c r="J45" s="5">
        <f t="shared" ca="1" si="2"/>
        <v>0.2755646368599417</v>
      </c>
      <c r="K45" s="5">
        <f t="shared" ca="1" si="9"/>
        <v>98</v>
      </c>
      <c r="L45" s="5">
        <f t="shared" ca="1" si="10"/>
        <v>0.4257673953916824</v>
      </c>
      <c r="M45" s="5">
        <f t="shared" ca="1" si="11"/>
        <v>2</v>
      </c>
      <c r="N45" s="5">
        <f t="shared" ca="1" si="12"/>
        <v>96</v>
      </c>
      <c r="O45" s="5">
        <f t="shared" ca="1" si="3"/>
        <v>4</v>
      </c>
      <c r="P45" s="5">
        <f t="shared" ca="1" si="13"/>
        <v>0</v>
      </c>
    </row>
    <row r="46" spans="1:16" x14ac:dyDescent="0.25">
      <c r="A46" s="5">
        <v>129</v>
      </c>
      <c r="B46" s="5">
        <f t="shared" ca="1" si="0"/>
        <v>0.51936782780866475</v>
      </c>
      <c r="C46" s="5">
        <f t="shared" ca="1" si="4"/>
        <v>101</v>
      </c>
      <c r="D46" s="5">
        <f t="shared" ca="1" si="5"/>
        <v>0.17146597109420925</v>
      </c>
      <c r="E46" s="5">
        <f t="shared" ca="1" si="6"/>
        <v>1</v>
      </c>
      <c r="F46" s="5">
        <f t="shared" ca="1" si="7"/>
        <v>100</v>
      </c>
      <c r="G46" s="5">
        <f t="shared" ca="1" si="1"/>
        <v>0</v>
      </c>
      <c r="H46" s="5">
        <f t="shared" ca="1" si="8"/>
        <v>0</v>
      </c>
      <c r="I46" s="5">
        <v>172</v>
      </c>
      <c r="J46" s="5">
        <f t="shared" ca="1" si="2"/>
        <v>0.37124113098245881</v>
      </c>
      <c r="K46" s="5">
        <f ca="1">RESERVACIONES(J46)</f>
        <v>99</v>
      </c>
      <c r="L46" s="5">
        <f t="shared" ca="1" si="10"/>
        <v>0.39007794467316115</v>
      </c>
      <c r="M46" s="5">
        <f t="shared" ca="1" si="11"/>
        <v>2</v>
      </c>
      <c r="N46" s="5">
        <f t="shared" ca="1" si="12"/>
        <v>97</v>
      </c>
      <c r="O46" s="5">
        <f t="shared" ca="1" si="3"/>
        <v>3</v>
      </c>
      <c r="P46" s="5">
        <f t="shared" ca="1" si="13"/>
        <v>0</v>
      </c>
    </row>
    <row r="47" spans="1:16" x14ac:dyDescent="0.25">
      <c r="F47" s="10" t="s">
        <v>40</v>
      </c>
      <c r="G47" s="11"/>
      <c r="H47" s="12">
        <f ca="1">SUM(H4:H46)</f>
        <v>6</v>
      </c>
      <c r="N47" s="10" t="s">
        <v>40</v>
      </c>
      <c r="O47" s="11"/>
      <c r="P47" s="12">
        <f ca="1">SUM(P4:P46)</f>
        <v>9</v>
      </c>
    </row>
  </sheetData>
  <mergeCells count="6">
    <mergeCell ref="A1:H1"/>
    <mergeCell ref="I1:P1"/>
    <mergeCell ref="B2:C2"/>
    <mergeCell ref="D2:E2"/>
    <mergeCell ref="J2:K2"/>
    <mergeCell ref="L2:M2"/>
  </mergeCells>
  <printOptions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7"/>
  <sheetViews>
    <sheetView topLeftCell="A28" workbookViewId="0">
      <selection activeCell="I47" sqref="I47"/>
    </sheetView>
  </sheetViews>
  <sheetFormatPr baseColWidth="10" defaultRowHeight="15" x14ac:dyDescent="0.25"/>
  <cols>
    <col min="1" max="1" width="4" bestFit="1" customWidth="1"/>
    <col min="2" max="2" width="10.42578125" bestFit="1" customWidth="1"/>
    <col min="3" max="3" width="8.85546875" bestFit="1" customWidth="1"/>
    <col min="4" max="4" width="14.42578125" customWidth="1"/>
    <col min="5" max="5" width="8.7109375" bestFit="1" customWidth="1"/>
    <col min="6" max="6" width="15.28515625" customWidth="1"/>
    <col min="7" max="7" width="13.5703125" customWidth="1"/>
    <col min="8" max="8" width="14.42578125" customWidth="1"/>
    <col min="9" max="9" width="4" bestFit="1" customWidth="1"/>
    <col min="10" max="10" width="10.42578125" bestFit="1" customWidth="1"/>
    <col min="11" max="11" width="8.85546875" bestFit="1" customWidth="1"/>
    <col min="12" max="12" width="14.42578125" customWidth="1"/>
    <col min="13" max="13" width="8.7109375" bestFit="1" customWidth="1"/>
    <col min="14" max="14" width="15.28515625" customWidth="1"/>
    <col min="15" max="15" width="13.5703125" customWidth="1"/>
    <col min="16" max="16" width="14.42578125" customWidth="1"/>
  </cols>
  <sheetData>
    <row r="1" spans="1:16" x14ac:dyDescent="0.25">
      <c r="A1" s="30" t="s">
        <v>41</v>
      </c>
      <c r="B1" s="30"/>
      <c r="C1" s="30"/>
      <c r="D1" s="30"/>
      <c r="E1" s="30"/>
      <c r="F1" s="30"/>
      <c r="G1" s="30"/>
      <c r="H1" s="30"/>
      <c r="I1" s="30" t="s">
        <v>41</v>
      </c>
      <c r="J1" s="30"/>
      <c r="K1" s="30"/>
      <c r="L1" s="30"/>
      <c r="M1" s="30"/>
      <c r="N1" s="30"/>
      <c r="O1" s="30"/>
      <c r="P1" s="30"/>
    </row>
    <row r="2" spans="1:16" ht="15" customHeight="1" x14ac:dyDescent="0.25">
      <c r="A2" s="5" t="s">
        <v>20</v>
      </c>
      <c r="B2" s="28" t="s">
        <v>23</v>
      </c>
      <c r="C2" s="28"/>
      <c r="D2" s="29" t="s">
        <v>24</v>
      </c>
      <c r="E2" s="29"/>
      <c r="F2" s="13" t="s">
        <v>37</v>
      </c>
      <c r="G2" s="13" t="s">
        <v>38</v>
      </c>
      <c r="H2" s="13" t="s">
        <v>39</v>
      </c>
      <c r="I2" s="5" t="s">
        <v>20</v>
      </c>
      <c r="J2" s="28" t="s">
        <v>23</v>
      </c>
      <c r="K2" s="28"/>
      <c r="L2" s="29" t="s">
        <v>24</v>
      </c>
      <c r="M2" s="29"/>
      <c r="N2" s="13" t="s">
        <v>37</v>
      </c>
      <c r="O2" s="13" t="s">
        <v>38</v>
      </c>
      <c r="P2" s="13" t="s">
        <v>39</v>
      </c>
    </row>
    <row r="3" spans="1:16" x14ac:dyDescent="0.25">
      <c r="A3" s="5"/>
      <c r="B3" s="5" t="s">
        <v>21</v>
      </c>
      <c r="C3" s="5" t="s">
        <v>22</v>
      </c>
      <c r="D3" s="5" t="s">
        <v>21</v>
      </c>
      <c r="E3" s="5" t="s">
        <v>22</v>
      </c>
      <c r="F3" s="5"/>
      <c r="G3" s="5"/>
      <c r="H3" s="5"/>
      <c r="I3" s="5"/>
      <c r="J3" s="5" t="s">
        <v>21</v>
      </c>
      <c r="K3" s="5" t="s">
        <v>22</v>
      </c>
      <c r="L3" s="5" t="s">
        <v>21</v>
      </c>
      <c r="M3" s="5" t="s">
        <v>22</v>
      </c>
      <c r="N3" s="5"/>
      <c r="O3" s="5"/>
      <c r="P3" s="5"/>
    </row>
    <row r="4" spans="1:16" x14ac:dyDescent="0.25">
      <c r="A4" s="5">
        <v>173</v>
      </c>
      <c r="B4" s="5">
        <f t="shared" ref="B4:B46" ca="1" si="0">RAND()</f>
        <v>7.462720082118024E-2</v>
      </c>
      <c r="C4" s="5">
        <f ca="1">RESERVACIONES(B4)</f>
        <v>97</v>
      </c>
      <c r="D4" s="5">
        <f ca="1">RAND()</f>
        <v>0.82733547457553469</v>
      </c>
      <c r="E4" s="5">
        <f ca="1">SNASISTENCIA(D4)</f>
        <v>3</v>
      </c>
      <c r="F4" s="5">
        <f ca="1">C4-E4</f>
        <v>94</v>
      </c>
      <c r="G4" s="5">
        <f t="shared" ref="G4:G46" ca="1" si="1">100-F4</f>
        <v>6</v>
      </c>
      <c r="H4" s="5">
        <f ca="1">RECLAMACIONES(G4)</f>
        <v>0</v>
      </c>
      <c r="I4" s="5">
        <v>216</v>
      </c>
      <c r="J4" s="5">
        <f t="shared" ref="J4:J46" ca="1" si="2">RAND()</f>
        <v>0.97172449855805931</v>
      </c>
      <c r="K4" s="5">
        <f ca="1">RESERVACIONES(J4)</f>
        <v>105</v>
      </c>
      <c r="L4" s="5">
        <f ca="1">RAND()</f>
        <v>0.75169015528727612</v>
      </c>
      <c r="M4" s="5">
        <f ca="1">SNASISTENCIA(L4)</f>
        <v>3</v>
      </c>
      <c r="N4" s="5">
        <f ca="1">K4-M4</f>
        <v>102</v>
      </c>
      <c r="O4" s="5">
        <f t="shared" ref="O4:O46" ca="1" si="3">100-N4</f>
        <v>-2</v>
      </c>
      <c r="P4" s="5">
        <f ca="1">RECLAMACIONES(O4)</f>
        <v>1</v>
      </c>
    </row>
    <row r="5" spans="1:16" x14ac:dyDescent="0.25">
      <c r="A5" s="5">
        <v>174</v>
      </c>
      <c r="B5" s="5">
        <f t="shared" ca="1" si="0"/>
        <v>7.7447995163292038E-2</v>
      </c>
      <c r="C5" s="5">
        <f t="shared" ref="C5:C46" ca="1" si="4">RESERVACIONES(B5)</f>
        <v>97</v>
      </c>
      <c r="D5" s="5">
        <f t="shared" ref="D5:D46" ca="1" si="5">RAND()</f>
        <v>0.55526589197115672</v>
      </c>
      <c r="E5" s="5">
        <f t="shared" ref="E5:E46" ca="1" si="6">SNASISTENCIA(D5)</f>
        <v>3</v>
      </c>
      <c r="F5" s="5">
        <f t="shared" ref="F5:F46" ca="1" si="7">C5-E5</f>
        <v>94</v>
      </c>
      <c r="G5" s="5">
        <f t="shared" ca="1" si="1"/>
        <v>6</v>
      </c>
      <c r="H5" s="5">
        <f t="shared" ref="H5:H46" ca="1" si="8">RECLAMACIONES(G5)</f>
        <v>0</v>
      </c>
      <c r="I5" s="5">
        <v>217</v>
      </c>
      <c r="J5" s="5">
        <f t="shared" ca="1" si="2"/>
        <v>0.56757334329837683</v>
      </c>
      <c r="K5" s="5">
        <f t="shared" ref="K5:K45" ca="1" si="9">RESERVACIONES(J5)</f>
        <v>101</v>
      </c>
      <c r="L5" s="5">
        <f t="shared" ref="L5:L46" ca="1" si="10">RAND()</f>
        <v>3.9852523430684461E-2</v>
      </c>
      <c r="M5" s="5">
        <f t="shared" ref="M5:M46" ca="1" si="11">SNASISTENCIA(L5)</f>
        <v>0</v>
      </c>
      <c r="N5" s="5">
        <f t="shared" ref="N5:N46" ca="1" si="12">K5-M5</f>
        <v>101</v>
      </c>
      <c r="O5" s="5">
        <f t="shared" ca="1" si="3"/>
        <v>-1</v>
      </c>
      <c r="P5" s="5">
        <f t="shared" ref="P5:P46" ca="1" si="13">RECLAMACIONES(O5)</f>
        <v>1</v>
      </c>
    </row>
    <row r="6" spans="1:16" x14ac:dyDescent="0.25">
      <c r="A6" s="5">
        <v>175</v>
      </c>
      <c r="B6" s="5">
        <f t="shared" ca="1" si="0"/>
        <v>0.86550779493735375</v>
      </c>
      <c r="C6" s="5">
        <f t="shared" ca="1" si="4"/>
        <v>104</v>
      </c>
      <c r="D6" s="5">
        <f t="shared" ca="1" si="5"/>
        <v>0.32434724842458751</v>
      </c>
      <c r="E6" s="5">
        <f t="shared" ca="1" si="6"/>
        <v>2</v>
      </c>
      <c r="F6" s="5">
        <f t="shared" ca="1" si="7"/>
        <v>102</v>
      </c>
      <c r="G6" s="5">
        <f t="shared" ca="1" si="1"/>
        <v>-2</v>
      </c>
      <c r="H6" s="5">
        <f t="shared" ca="1" si="8"/>
        <v>1</v>
      </c>
      <c r="I6" s="5">
        <v>218</v>
      </c>
      <c r="J6" s="5">
        <f t="shared" ca="1" si="2"/>
        <v>5.2199684374538702E-2</v>
      </c>
      <c r="K6" s="5">
        <f t="shared" ca="1" si="9"/>
        <v>96</v>
      </c>
      <c r="L6" s="5">
        <f t="shared" ca="1" si="10"/>
        <v>6.7584924128879509E-2</v>
      </c>
      <c r="M6" s="5">
        <f t="shared" ca="1" si="11"/>
        <v>0</v>
      </c>
      <c r="N6" s="5">
        <f t="shared" ca="1" si="12"/>
        <v>96</v>
      </c>
      <c r="O6" s="5">
        <f t="shared" ca="1" si="3"/>
        <v>4</v>
      </c>
      <c r="P6" s="5">
        <f t="shared" ca="1" si="13"/>
        <v>0</v>
      </c>
    </row>
    <row r="7" spans="1:16" x14ac:dyDescent="0.25">
      <c r="A7" s="5">
        <v>176</v>
      </c>
      <c r="B7" s="5">
        <f t="shared" ca="1" si="0"/>
        <v>0.31011023247512481</v>
      </c>
      <c r="C7" s="5">
        <f t="shared" ca="1" si="4"/>
        <v>99</v>
      </c>
      <c r="D7" s="5">
        <f t="shared" ca="1" si="5"/>
        <v>0.3467874857697143</v>
      </c>
      <c r="E7" s="5">
        <f t="shared" ca="1" si="6"/>
        <v>2</v>
      </c>
      <c r="F7" s="5">
        <f t="shared" ca="1" si="7"/>
        <v>97</v>
      </c>
      <c r="G7" s="5">
        <f t="shared" ca="1" si="1"/>
        <v>3</v>
      </c>
      <c r="H7" s="5">
        <f t="shared" ca="1" si="8"/>
        <v>0</v>
      </c>
      <c r="I7" s="5">
        <v>219</v>
      </c>
      <c r="J7" s="5">
        <f t="shared" ca="1" si="2"/>
        <v>0.23973667266790699</v>
      </c>
      <c r="K7" s="5">
        <f t="shared" ca="1" si="9"/>
        <v>98</v>
      </c>
      <c r="L7" s="5">
        <f t="shared" ca="1" si="10"/>
        <v>2.6092294738669475E-2</v>
      </c>
      <c r="M7" s="5">
        <f t="shared" ca="1" si="11"/>
        <v>0</v>
      </c>
      <c r="N7" s="5">
        <f t="shared" ca="1" si="12"/>
        <v>98</v>
      </c>
      <c r="O7" s="5">
        <f t="shared" ca="1" si="3"/>
        <v>2</v>
      </c>
      <c r="P7" s="5">
        <f t="shared" ca="1" si="13"/>
        <v>0</v>
      </c>
    </row>
    <row r="8" spans="1:16" x14ac:dyDescent="0.25">
      <c r="A8" s="5">
        <v>177</v>
      </c>
      <c r="B8" s="5">
        <f t="shared" ca="1" si="0"/>
        <v>0.38311152450188191</v>
      </c>
      <c r="C8" s="5">
        <f t="shared" ca="1" si="4"/>
        <v>99</v>
      </c>
      <c r="D8" s="5">
        <f t="shared" ca="1" si="5"/>
        <v>0.33027289338292654</v>
      </c>
      <c r="E8" s="5">
        <f t="shared" ca="1" si="6"/>
        <v>2</v>
      </c>
      <c r="F8" s="5">
        <f t="shared" ca="1" si="7"/>
        <v>97</v>
      </c>
      <c r="G8" s="5">
        <f t="shared" ca="1" si="1"/>
        <v>3</v>
      </c>
      <c r="H8" s="5">
        <f t="shared" ca="1" si="8"/>
        <v>0</v>
      </c>
      <c r="I8" s="5">
        <v>220</v>
      </c>
      <c r="J8" s="5">
        <f t="shared" ca="1" si="2"/>
        <v>0.47221021264297791</v>
      </c>
      <c r="K8" s="5">
        <f t="shared" ca="1" si="9"/>
        <v>100</v>
      </c>
      <c r="L8" s="5">
        <f t="shared" ca="1" si="10"/>
        <v>0.66314955898339789</v>
      </c>
      <c r="M8" s="5">
        <f t="shared" ca="1" si="11"/>
        <v>3</v>
      </c>
      <c r="N8" s="5">
        <f t="shared" ca="1" si="12"/>
        <v>97</v>
      </c>
      <c r="O8" s="5">
        <f t="shared" ca="1" si="3"/>
        <v>3</v>
      </c>
      <c r="P8" s="5">
        <f t="shared" ca="1" si="13"/>
        <v>0</v>
      </c>
    </row>
    <row r="9" spans="1:16" x14ac:dyDescent="0.25">
      <c r="A9" s="5">
        <v>178</v>
      </c>
      <c r="B9" s="5">
        <f t="shared" ca="1" si="0"/>
        <v>0.45048961209187999</v>
      </c>
      <c r="C9" s="5">
        <f t="shared" ca="1" si="4"/>
        <v>100</v>
      </c>
      <c r="D9" s="5">
        <f t="shared" ca="1" si="5"/>
        <v>0.10952133692921151</v>
      </c>
      <c r="E9" s="5">
        <f t="shared" ca="1" si="6"/>
        <v>1</v>
      </c>
      <c r="F9" s="5">
        <f t="shared" ca="1" si="7"/>
        <v>99</v>
      </c>
      <c r="G9" s="5">
        <f t="shared" ca="1" si="1"/>
        <v>1</v>
      </c>
      <c r="H9" s="5">
        <f t="shared" ca="1" si="8"/>
        <v>0</v>
      </c>
      <c r="I9" s="5">
        <v>221</v>
      </c>
      <c r="J9" s="5">
        <f t="shared" ca="1" si="2"/>
        <v>0.7525258776935343</v>
      </c>
      <c r="K9" s="5">
        <f t="shared" ca="1" si="9"/>
        <v>103</v>
      </c>
      <c r="L9" s="5">
        <f t="shared" ca="1" si="10"/>
        <v>0.77164807833659577</v>
      </c>
      <c r="M9" s="5">
        <f t="shared" ca="1" si="11"/>
        <v>3</v>
      </c>
      <c r="N9" s="5">
        <f t="shared" ca="1" si="12"/>
        <v>100</v>
      </c>
      <c r="O9" s="5">
        <f t="shared" ca="1" si="3"/>
        <v>0</v>
      </c>
      <c r="P9" s="5">
        <f t="shared" ca="1" si="13"/>
        <v>0</v>
      </c>
    </row>
    <row r="10" spans="1:16" x14ac:dyDescent="0.25">
      <c r="A10" s="5">
        <v>179</v>
      </c>
      <c r="B10" s="5">
        <f t="shared" ca="1" si="0"/>
        <v>0.49615687501388928</v>
      </c>
      <c r="C10" s="5">
        <f t="shared" ca="1" si="4"/>
        <v>100</v>
      </c>
      <c r="D10" s="5">
        <f t="shared" ca="1" si="5"/>
        <v>7.0381209495226082E-2</v>
      </c>
      <c r="E10" s="5">
        <f t="shared" ca="1" si="6"/>
        <v>0</v>
      </c>
      <c r="F10" s="5">
        <f t="shared" ca="1" si="7"/>
        <v>100</v>
      </c>
      <c r="G10" s="5">
        <f t="shared" ca="1" si="1"/>
        <v>0</v>
      </c>
      <c r="H10" s="5">
        <f t="shared" ca="1" si="8"/>
        <v>0</v>
      </c>
      <c r="I10" s="5">
        <v>222</v>
      </c>
      <c r="J10" s="5">
        <f t="shared" ca="1" si="2"/>
        <v>0.7043531796936302</v>
      </c>
      <c r="K10" s="5">
        <f t="shared" ca="1" si="9"/>
        <v>102</v>
      </c>
      <c r="L10" s="5">
        <f t="shared" ca="1" si="10"/>
        <v>0.71585567468249456</v>
      </c>
      <c r="M10" s="5">
        <f t="shared" ca="1" si="11"/>
        <v>3</v>
      </c>
      <c r="N10" s="5">
        <f t="shared" ca="1" si="12"/>
        <v>99</v>
      </c>
      <c r="O10" s="5">
        <f t="shared" ca="1" si="3"/>
        <v>1</v>
      </c>
      <c r="P10" s="5">
        <f t="shared" ca="1" si="13"/>
        <v>0</v>
      </c>
    </row>
    <row r="11" spans="1:16" x14ac:dyDescent="0.25">
      <c r="A11" s="5">
        <v>180</v>
      </c>
      <c r="B11" s="5">
        <f t="shared" ca="1" si="0"/>
        <v>0.66569342111868768</v>
      </c>
      <c r="C11" s="5">
        <f t="shared" ca="1" si="4"/>
        <v>102</v>
      </c>
      <c r="D11" s="5">
        <f t="shared" ca="1" si="5"/>
        <v>6.407126049995937E-3</v>
      </c>
      <c r="E11" s="5">
        <f t="shared" ca="1" si="6"/>
        <v>0</v>
      </c>
      <c r="F11" s="5">
        <f t="shared" ca="1" si="7"/>
        <v>102</v>
      </c>
      <c r="G11" s="5">
        <f t="shared" ca="1" si="1"/>
        <v>-2</v>
      </c>
      <c r="H11" s="5">
        <f t="shared" ca="1" si="8"/>
        <v>1</v>
      </c>
      <c r="I11" s="5">
        <v>223</v>
      </c>
      <c r="J11" s="5">
        <f t="shared" ca="1" si="2"/>
        <v>0.63878192742528361</v>
      </c>
      <c r="K11" s="5">
        <f t="shared" ca="1" si="9"/>
        <v>102</v>
      </c>
      <c r="L11" s="5">
        <f t="shared" ca="1" si="10"/>
        <v>0.71003344625373632</v>
      </c>
      <c r="M11" s="5">
        <f t="shared" ca="1" si="11"/>
        <v>3</v>
      </c>
      <c r="N11" s="5">
        <f t="shared" ca="1" si="12"/>
        <v>99</v>
      </c>
      <c r="O11" s="5">
        <f t="shared" ca="1" si="3"/>
        <v>1</v>
      </c>
      <c r="P11" s="5">
        <f t="shared" ca="1" si="13"/>
        <v>0</v>
      </c>
    </row>
    <row r="12" spans="1:16" x14ac:dyDescent="0.25">
      <c r="A12" s="5">
        <v>181</v>
      </c>
      <c r="B12" s="5">
        <f t="shared" ca="1" si="0"/>
        <v>0.57818335316559899</v>
      </c>
      <c r="C12" s="5">
        <f t="shared" ca="1" si="4"/>
        <v>101</v>
      </c>
      <c r="D12" s="5">
        <f t="shared" ca="1" si="5"/>
        <v>0.67322652902325752</v>
      </c>
      <c r="E12" s="5">
        <f t="shared" ca="1" si="6"/>
        <v>3</v>
      </c>
      <c r="F12" s="5">
        <f t="shared" ca="1" si="7"/>
        <v>98</v>
      </c>
      <c r="G12" s="5">
        <f t="shared" ca="1" si="1"/>
        <v>2</v>
      </c>
      <c r="H12" s="5">
        <f t="shared" ca="1" si="8"/>
        <v>0</v>
      </c>
      <c r="I12" s="5">
        <v>224</v>
      </c>
      <c r="J12" s="5">
        <f t="shared" ca="1" si="2"/>
        <v>0.51772146422358734</v>
      </c>
      <c r="K12" s="5">
        <f t="shared" ca="1" si="9"/>
        <v>101</v>
      </c>
      <c r="L12" s="5">
        <f t="shared" ca="1" si="10"/>
        <v>0.89072596348191269</v>
      </c>
      <c r="M12" s="5">
        <f t="shared" ca="1" si="11"/>
        <v>4</v>
      </c>
      <c r="N12" s="5">
        <f t="shared" ca="1" si="12"/>
        <v>97</v>
      </c>
      <c r="O12" s="5">
        <f t="shared" ca="1" si="3"/>
        <v>3</v>
      </c>
      <c r="P12" s="5">
        <f t="shared" ca="1" si="13"/>
        <v>0</v>
      </c>
    </row>
    <row r="13" spans="1:16" x14ac:dyDescent="0.25">
      <c r="A13" s="5">
        <v>182</v>
      </c>
      <c r="B13" s="5">
        <f t="shared" ca="1" si="0"/>
        <v>0.77773864518169711</v>
      </c>
      <c r="C13" s="5">
        <f t="shared" ca="1" si="4"/>
        <v>103</v>
      </c>
      <c r="D13" s="5">
        <f t="shared" ca="1" si="5"/>
        <v>0.50580526676425386</v>
      </c>
      <c r="E13" s="5">
        <f t="shared" ca="1" si="6"/>
        <v>2</v>
      </c>
      <c r="F13" s="5">
        <f t="shared" ca="1" si="7"/>
        <v>101</v>
      </c>
      <c r="G13" s="5">
        <f t="shared" ca="1" si="1"/>
        <v>-1</v>
      </c>
      <c r="H13" s="5">
        <f t="shared" ca="1" si="8"/>
        <v>1</v>
      </c>
      <c r="I13" s="5">
        <v>225</v>
      </c>
      <c r="J13" s="5">
        <f t="shared" ca="1" si="2"/>
        <v>0.9147307440545186</v>
      </c>
      <c r="K13" s="5">
        <f t="shared" ca="1" si="9"/>
        <v>104</v>
      </c>
      <c r="L13" s="5">
        <f t="shared" ca="1" si="10"/>
        <v>0.46823528108322954</v>
      </c>
      <c r="M13" s="5">
        <f t="shared" ca="1" si="11"/>
        <v>2</v>
      </c>
      <c r="N13" s="5">
        <f t="shared" ca="1" si="12"/>
        <v>102</v>
      </c>
      <c r="O13" s="5">
        <f t="shared" ca="1" si="3"/>
        <v>-2</v>
      </c>
      <c r="P13" s="5">
        <f t="shared" ca="1" si="13"/>
        <v>1</v>
      </c>
    </row>
    <row r="14" spans="1:16" x14ac:dyDescent="0.25">
      <c r="A14" s="5">
        <v>183</v>
      </c>
      <c r="B14" s="5">
        <f t="shared" ca="1" si="0"/>
        <v>0.75586320643862548</v>
      </c>
      <c r="C14" s="5">
        <f t="shared" ca="1" si="4"/>
        <v>103</v>
      </c>
      <c r="D14" s="5">
        <f t="shared" ca="1" si="5"/>
        <v>0.84277824186009309</v>
      </c>
      <c r="E14" s="5">
        <f t="shared" ca="1" si="6"/>
        <v>3</v>
      </c>
      <c r="F14" s="5">
        <f t="shared" ca="1" si="7"/>
        <v>100</v>
      </c>
      <c r="G14" s="5">
        <f t="shared" ca="1" si="1"/>
        <v>0</v>
      </c>
      <c r="H14" s="5">
        <f t="shared" ca="1" si="8"/>
        <v>0</v>
      </c>
      <c r="I14" s="5">
        <v>226</v>
      </c>
      <c r="J14" s="5">
        <f t="shared" ca="1" si="2"/>
        <v>0.39505932076433903</v>
      </c>
      <c r="K14" s="5">
        <f t="shared" ca="1" si="9"/>
        <v>100</v>
      </c>
      <c r="L14" s="5">
        <f t="shared" ca="1" si="10"/>
        <v>0.35870347338154129</v>
      </c>
      <c r="M14" s="5">
        <f t="shared" ca="1" si="11"/>
        <v>2</v>
      </c>
      <c r="N14" s="5">
        <f t="shared" ca="1" si="12"/>
        <v>98</v>
      </c>
      <c r="O14" s="5">
        <f t="shared" ca="1" si="3"/>
        <v>2</v>
      </c>
      <c r="P14" s="5">
        <f t="shared" ca="1" si="13"/>
        <v>0</v>
      </c>
    </row>
    <row r="15" spans="1:16" x14ac:dyDescent="0.25">
      <c r="A15" s="5">
        <v>184</v>
      </c>
      <c r="B15" s="5">
        <f t="shared" ca="1" si="0"/>
        <v>0.69992311507677962</v>
      </c>
      <c r="C15" s="5">
        <f t="shared" ca="1" si="4"/>
        <v>102</v>
      </c>
      <c r="D15" s="5">
        <f t="shared" ca="1" si="5"/>
        <v>0.31750239202575081</v>
      </c>
      <c r="E15" s="5">
        <f t="shared" ca="1" si="6"/>
        <v>2</v>
      </c>
      <c r="F15" s="5">
        <f t="shared" ca="1" si="7"/>
        <v>100</v>
      </c>
      <c r="G15" s="5">
        <f t="shared" ca="1" si="1"/>
        <v>0</v>
      </c>
      <c r="H15" s="5">
        <f t="shared" ca="1" si="8"/>
        <v>0</v>
      </c>
      <c r="I15" s="5">
        <v>227</v>
      </c>
      <c r="J15" s="5">
        <f t="shared" ca="1" si="2"/>
        <v>3.940987017724018E-2</v>
      </c>
      <c r="K15" s="5">
        <f t="shared" ca="1" si="9"/>
        <v>96</v>
      </c>
      <c r="L15" s="5">
        <f t="shared" ca="1" si="10"/>
        <v>0.22408973186535008</v>
      </c>
      <c r="M15" s="5">
        <f t="shared" ca="1" si="11"/>
        <v>1</v>
      </c>
      <c r="N15" s="5">
        <f t="shared" ca="1" si="12"/>
        <v>95</v>
      </c>
      <c r="O15" s="5">
        <f t="shared" ca="1" si="3"/>
        <v>5</v>
      </c>
      <c r="P15" s="5">
        <f t="shared" ca="1" si="13"/>
        <v>0</v>
      </c>
    </row>
    <row r="16" spans="1:16" x14ac:dyDescent="0.25">
      <c r="A16" s="5">
        <v>185</v>
      </c>
      <c r="B16" s="5">
        <f t="shared" ca="1" si="0"/>
        <v>0.59640521779153688</v>
      </c>
      <c r="C16" s="5">
        <f t="shared" ca="1" si="4"/>
        <v>101</v>
      </c>
      <c r="D16" s="5">
        <f t="shared" ca="1" si="5"/>
        <v>0.36668287813609124</v>
      </c>
      <c r="E16" s="5">
        <f t="shared" ca="1" si="6"/>
        <v>2</v>
      </c>
      <c r="F16" s="5">
        <f t="shared" ca="1" si="7"/>
        <v>99</v>
      </c>
      <c r="G16" s="5">
        <f t="shared" ca="1" si="1"/>
        <v>1</v>
      </c>
      <c r="H16" s="5">
        <f t="shared" ca="1" si="8"/>
        <v>0</v>
      </c>
      <c r="I16" s="5">
        <v>228</v>
      </c>
      <c r="J16" s="5">
        <f t="shared" ca="1" si="2"/>
        <v>0.19553034581496709</v>
      </c>
      <c r="K16" s="5">
        <f t="shared" ca="1" si="9"/>
        <v>98</v>
      </c>
      <c r="L16" s="5">
        <f t="shared" ca="1" si="10"/>
        <v>0.98508449625998307</v>
      </c>
      <c r="M16" s="5">
        <f t="shared" ca="1" si="11"/>
        <v>5</v>
      </c>
      <c r="N16" s="5">
        <f t="shared" ca="1" si="12"/>
        <v>93</v>
      </c>
      <c r="O16" s="5">
        <f t="shared" ca="1" si="3"/>
        <v>7</v>
      </c>
      <c r="P16" s="5">
        <f t="shared" ca="1" si="13"/>
        <v>0</v>
      </c>
    </row>
    <row r="17" spans="1:16" x14ac:dyDescent="0.25">
      <c r="A17" s="5">
        <v>186</v>
      </c>
      <c r="B17" s="5">
        <f t="shared" ca="1" si="0"/>
        <v>0.12540192245578341</v>
      </c>
      <c r="C17" s="5">
        <f t="shared" ca="1" si="4"/>
        <v>97</v>
      </c>
      <c r="D17" s="5">
        <f t="shared" ca="1" si="5"/>
        <v>0.83678682469534771</v>
      </c>
      <c r="E17" s="5">
        <f t="shared" ca="1" si="6"/>
        <v>3</v>
      </c>
      <c r="F17" s="5">
        <f t="shared" ca="1" si="7"/>
        <v>94</v>
      </c>
      <c r="G17" s="5">
        <f t="shared" ca="1" si="1"/>
        <v>6</v>
      </c>
      <c r="H17" s="5">
        <f t="shared" ca="1" si="8"/>
        <v>0</v>
      </c>
      <c r="I17" s="5">
        <v>229</v>
      </c>
      <c r="J17" s="5">
        <f t="shared" ca="1" si="2"/>
        <v>0.95801466382422917</v>
      </c>
      <c r="K17" s="5">
        <f t="shared" ca="1" si="9"/>
        <v>105</v>
      </c>
      <c r="L17" s="5">
        <f t="shared" ca="1" si="10"/>
        <v>0.41718678427726863</v>
      </c>
      <c r="M17" s="5">
        <f t="shared" ca="1" si="11"/>
        <v>2</v>
      </c>
      <c r="N17" s="5">
        <f t="shared" ca="1" si="12"/>
        <v>103</v>
      </c>
      <c r="O17" s="5">
        <f t="shared" ca="1" si="3"/>
        <v>-3</v>
      </c>
      <c r="P17" s="5">
        <f t="shared" ca="1" si="13"/>
        <v>1</v>
      </c>
    </row>
    <row r="18" spans="1:16" x14ac:dyDescent="0.25">
      <c r="A18" s="5">
        <v>187</v>
      </c>
      <c r="B18" s="5">
        <f t="shared" ca="1" si="0"/>
        <v>0.99804790336097537</v>
      </c>
      <c r="C18" s="5">
        <f t="shared" ca="1" si="4"/>
        <v>105</v>
      </c>
      <c r="D18" s="5">
        <f t="shared" ca="1" si="5"/>
        <v>0.96049406013435401</v>
      </c>
      <c r="E18" s="5">
        <f t="shared" ca="1" si="6"/>
        <v>5</v>
      </c>
      <c r="F18" s="5">
        <f t="shared" ca="1" si="7"/>
        <v>100</v>
      </c>
      <c r="G18" s="5">
        <f t="shared" ca="1" si="1"/>
        <v>0</v>
      </c>
      <c r="H18" s="5">
        <f t="shared" ca="1" si="8"/>
        <v>0</v>
      </c>
      <c r="I18" s="5">
        <v>230</v>
      </c>
      <c r="J18" s="5">
        <f t="shared" ca="1" si="2"/>
        <v>0.769377298551569</v>
      </c>
      <c r="K18" s="5">
        <f t="shared" ca="1" si="9"/>
        <v>103</v>
      </c>
      <c r="L18" s="5">
        <f t="shared" ca="1" si="10"/>
        <v>0.2787993713024941</v>
      </c>
      <c r="M18" s="5">
        <f t="shared" ca="1" si="11"/>
        <v>1</v>
      </c>
      <c r="N18" s="5">
        <f t="shared" ca="1" si="12"/>
        <v>102</v>
      </c>
      <c r="O18" s="5">
        <f t="shared" ca="1" si="3"/>
        <v>-2</v>
      </c>
      <c r="P18" s="5">
        <f t="shared" ca="1" si="13"/>
        <v>1</v>
      </c>
    </row>
    <row r="19" spans="1:16" x14ac:dyDescent="0.25">
      <c r="A19" s="5">
        <v>188</v>
      </c>
      <c r="B19" s="5">
        <f t="shared" ca="1" si="0"/>
        <v>7.3665553070349499E-2</v>
      </c>
      <c r="C19" s="5">
        <f t="shared" ca="1" si="4"/>
        <v>97</v>
      </c>
      <c r="D19" s="5">
        <f t="shared" ca="1" si="5"/>
        <v>0.87543969602416238</v>
      </c>
      <c r="E19" s="5">
        <f t="shared" ca="1" si="6"/>
        <v>4</v>
      </c>
      <c r="F19" s="5">
        <f t="shared" ca="1" si="7"/>
        <v>93</v>
      </c>
      <c r="G19" s="5">
        <f t="shared" ca="1" si="1"/>
        <v>7</v>
      </c>
      <c r="H19" s="5">
        <f t="shared" ca="1" si="8"/>
        <v>0</v>
      </c>
      <c r="I19" s="5">
        <v>231</v>
      </c>
      <c r="J19" s="5">
        <f t="shared" ca="1" si="2"/>
        <v>0.2606808903962089</v>
      </c>
      <c r="K19" s="5">
        <f t="shared" ca="1" si="9"/>
        <v>98</v>
      </c>
      <c r="L19" s="5">
        <f t="shared" ca="1" si="10"/>
        <v>0.70210883014612024</v>
      </c>
      <c r="M19" s="5">
        <f t="shared" ca="1" si="11"/>
        <v>3</v>
      </c>
      <c r="N19" s="5">
        <f t="shared" ca="1" si="12"/>
        <v>95</v>
      </c>
      <c r="O19" s="5">
        <f t="shared" ca="1" si="3"/>
        <v>5</v>
      </c>
      <c r="P19" s="5">
        <f t="shared" ca="1" si="13"/>
        <v>0</v>
      </c>
    </row>
    <row r="20" spans="1:16" x14ac:dyDescent="0.25">
      <c r="A20" s="5">
        <v>189</v>
      </c>
      <c r="B20" s="5">
        <f t="shared" ca="1" si="0"/>
        <v>0.38605015247731</v>
      </c>
      <c r="C20" s="5">
        <f t="shared" ca="1" si="4"/>
        <v>99</v>
      </c>
      <c r="D20" s="5">
        <f t="shared" ca="1" si="5"/>
        <v>0.74120691202302258</v>
      </c>
      <c r="E20" s="5">
        <f t="shared" ca="1" si="6"/>
        <v>3</v>
      </c>
      <c r="F20" s="5">
        <f t="shared" ca="1" si="7"/>
        <v>96</v>
      </c>
      <c r="G20" s="5">
        <f t="shared" ca="1" si="1"/>
        <v>4</v>
      </c>
      <c r="H20" s="5">
        <f t="shared" ca="1" si="8"/>
        <v>0</v>
      </c>
      <c r="I20" s="5">
        <v>232</v>
      </c>
      <c r="J20" s="5">
        <f t="shared" ca="1" si="2"/>
        <v>0.85482521764541297</v>
      </c>
      <c r="K20" s="5">
        <f t="shared" ca="1" si="9"/>
        <v>104</v>
      </c>
      <c r="L20" s="5">
        <f t="shared" ca="1" si="10"/>
        <v>0.10465197925719316</v>
      </c>
      <c r="M20" s="5">
        <f t="shared" ca="1" si="11"/>
        <v>1</v>
      </c>
      <c r="N20" s="5">
        <f t="shared" ca="1" si="12"/>
        <v>103</v>
      </c>
      <c r="O20" s="5">
        <f t="shared" ca="1" si="3"/>
        <v>-3</v>
      </c>
      <c r="P20" s="5">
        <f t="shared" ca="1" si="13"/>
        <v>1</v>
      </c>
    </row>
    <row r="21" spans="1:16" x14ac:dyDescent="0.25">
      <c r="A21" s="5">
        <v>190</v>
      </c>
      <c r="B21" s="5">
        <f t="shared" ca="1" si="0"/>
        <v>0.53730219392680545</v>
      </c>
      <c r="C21" s="5">
        <f t="shared" ca="1" si="4"/>
        <v>101</v>
      </c>
      <c r="D21" s="5">
        <f t="shared" ca="1" si="5"/>
        <v>0.13360316415266782</v>
      </c>
      <c r="E21" s="5">
        <f t="shared" ca="1" si="6"/>
        <v>1</v>
      </c>
      <c r="F21" s="5">
        <f t="shared" ca="1" si="7"/>
        <v>100</v>
      </c>
      <c r="G21" s="5">
        <f t="shared" ca="1" si="1"/>
        <v>0</v>
      </c>
      <c r="H21" s="5">
        <f t="shared" ca="1" si="8"/>
        <v>0</v>
      </c>
      <c r="I21" s="5">
        <v>233</v>
      </c>
      <c r="J21" s="5">
        <f t="shared" ca="1" si="2"/>
        <v>0.88530069608399276</v>
      </c>
      <c r="K21" s="5">
        <f t="shared" ca="1" si="9"/>
        <v>104</v>
      </c>
      <c r="L21" s="5">
        <f t="shared" ca="1" si="10"/>
        <v>0.74641982472964652</v>
      </c>
      <c r="M21" s="5">
        <f t="shared" ca="1" si="11"/>
        <v>3</v>
      </c>
      <c r="N21" s="5">
        <f t="shared" ca="1" si="12"/>
        <v>101</v>
      </c>
      <c r="O21" s="5">
        <f t="shared" ca="1" si="3"/>
        <v>-1</v>
      </c>
      <c r="P21" s="5">
        <f t="shared" ca="1" si="13"/>
        <v>1</v>
      </c>
    </row>
    <row r="22" spans="1:16" x14ac:dyDescent="0.25">
      <c r="A22" s="5">
        <v>191</v>
      </c>
      <c r="B22" s="5">
        <f t="shared" ca="1" si="0"/>
        <v>0.61653831394802283</v>
      </c>
      <c r="C22" s="5">
        <f t="shared" ca="1" si="4"/>
        <v>102</v>
      </c>
      <c r="D22" s="5">
        <f t="shared" ca="1" si="5"/>
        <v>0.53710560442564381</v>
      </c>
      <c r="E22" s="5">
        <f t="shared" ca="1" si="6"/>
        <v>2</v>
      </c>
      <c r="F22" s="5">
        <f t="shared" ca="1" si="7"/>
        <v>100</v>
      </c>
      <c r="G22" s="5">
        <f t="shared" ca="1" si="1"/>
        <v>0</v>
      </c>
      <c r="H22" s="5">
        <f t="shared" ca="1" si="8"/>
        <v>0</v>
      </c>
      <c r="I22" s="5">
        <v>234</v>
      </c>
      <c r="J22" s="5">
        <f t="shared" ca="1" si="2"/>
        <v>0.2794466302112405</v>
      </c>
      <c r="K22" s="5">
        <f t="shared" ca="1" si="9"/>
        <v>99</v>
      </c>
      <c r="L22" s="5">
        <f t="shared" ca="1" si="10"/>
        <v>3.3090298671787144E-2</v>
      </c>
      <c r="M22" s="5">
        <f t="shared" ca="1" si="11"/>
        <v>0</v>
      </c>
      <c r="N22" s="5">
        <f t="shared" ca="1" si="12"/>
        <v>99</v>
      </c>
      <c r="O22" s="5">
        <f t="shared" ca="1" si="3"/>
        <v>1</v>
      </c>
      <c r="P22" s="5">
        <f t="shared" ca="1" si="13"/>
        <v>0</v>
      </c>
    </row>
    <row r="23" spans="1:16" x14ac:dyDescent="0.25">
      <c r="A23" s="5">
        <v>192</v>
      </c>
      <c r="B23" s="5">
        <f t="shared" ca="1" si="0"/>
        <v>0.281238091128999</v>
      </c>
      <c r="C23" s="5">
        <f t="shared" ca="1" si="4"/>
        <v>99</v>
      </c>
      <c r="D23" s="5">
        <f t="shared" ca="1" si="5"/>
        <v>0.49239366799568973</v>
      </c>
      <c r="E23" s="5">
        <f t="shared" ca="1" si="6"/>
        <v>2</v>
      </c>
      <c r="F23" s="5">
        <f t="shared" ca="1" si="7"/>
        <v>97</v>
      </c>
      <c r="G23" s="5">
        <f t="shared" ca="1" si="1"/>
        <v>3</v>
      </c>
      <c r="H23" s="5">
        <f t="shared" ca="1" si="8"/>
        <v>0</v>
      </c>
      <c r="I23" s="5">
        <v>235</v>
      </c>
      <c r="J23" s="5">
        <f t="shared" ca="1" si="2"/>
        <v>0.44240570208595031</v>
      </c>
      <c r="K23" s="5">
        <f t="shared" ca="1" si="9"/>
        <v>100</v>
      </c>
      <c r="L23" s="5">
        <f t="shared" ca="1" si="10"/>
        <v>0.46673201665745767</v>
      </c>
      <c r="M23" s="5">
        <f t="shared" ca="1" si="11"/>
        <v>2</v>
      </c>
      <c r="N23" s="5">
        <f t="shared" ca="1" si="12"/>
        <v>98</v>
      </c>
      <c r="O23" s="5">
        <f t="shared" ca="1" si="3"/>
        <v>2</v>
      </c>
      <c r="P23" s="5">
        <f t="shared" ca="1" si="13"/>
        <v>0</v>
      </c>
    </row>
    <row r="24" spans="1:16" x14ac:dyDescent="0.25">
      <c r="A24" s="5">
        <v>193</v>
      </c>
      <c r="B24" s="5">
        <f t="shared" ca="1" si="0"/>
        <v>0.73878872823561892</v>
      </c>
      <c r="C24" s="5">
        <f t="shared" ca="1" si="4"/>
        <v>103</v>
      </c>
      <c r="D24" s="5">
        <f t="shared" ca="1" si="5"/>
        <v>0.45023430395225505</v>
      </c>
      <c r="E24" s="5">
        <f t="shared" ca="1" si="6"/>
        <v>2</v>
      </c>
      <c r="F24" s="5">
        <f t="shared" ca="1" si="7"/>
        <v>101</v>
      </c>
      <c r="G24" s="5">
        <f t="shared" ca="1" si="1"/>
        <v>-1</v>
      </c>
      <c r="H24" s="5">
        <f t="shared" ca="1" si="8"/>
        <v>1</v>
      </c>
      <c r="I24" s="5">
        <v>236</v>
      </c>
      <c r="J24" s="5">
        <f t="shared" ca="1" si="2"/>
        <v>0.86059938004876979</v>
      </c>
      <c r="K24" s="5">
        <f t="shared" ca="1" si="9"/>
        <v>104</v>
      </c>
      <c r="L24" s="5">
        <f t="shared" ca="1" si="10"/>
        <v>0.30192501960740759</v>
      </c>
      <c r="M24" s="5">
        <f t="shared" ca="1" si="11"/>
        <v>2</v>
      </c>
      <c r="N24" s="5">
        <f t="shared" ca="1" si="12"/>
        <v>102</v>
      </c>
      <c r="O24" s="5">
        <f t="shared" ca="1" si="3"/>
        <v>-2</v>
      </c>
      <c r="P24" s="5">
        <f t="shared" ca="1" si="13"/>
        <v>1</v>
      </c>
    </row>
    <row r="25" spans="1:16" x14ac:dyDescent="0.25">
      <c r="A25" s="5">
        <v>194</v>
      </c>
      <c r="B25" s="5">
        <f t="shared" ca="1" si="0"/>
        <v>0.12075786166599278</v>
      </c>
      <c r="C25" s="5">
        <f t="shared" ca="1" si="4"/>
        <v>97</v>
      </c>
      <c r="D25" s="5">
        <f t="shared" ca="1" si="5"/>
        <v>0.3656621246200723</v>
      </c>
      <c r="E25" s="5">
        <f t="shared" ca="1" si="6"/>
        <v>2</v>
      </c>
      <c r="F25" s="5">
        <f t="shared" ca="1" si="7"/>
        <v>95</v>
      </c>
      <c r="G25" s="5">
        <f t="shared" ca="1" si="1"/>
        <v>5</v>
      </c>
      <c r="H25" s="5">
        <f t="shared" ca="1" si="8"/>
        <v>0</v>
      </c>
      <c r="I25" s="5">
        <v>237</v>
      </c>
      <c r="J25" s="5">
        <f t="shared" ca="1" si="2"/>
        <v>0.13939107008003371</v>
      </c>
      <c r="K25" s="5">
        <f t="shared" ca="1" si="9"/>
        <v>97</v>
      </c>
      <c r="L25" s="5">
        <f t="shared" ca="1" si="10"/>
        <v>0.28690349449542085</v>
      </c>
      <c r="M25" s="5">
        <f t="shared" ca="1" si="11"/>
        <v>1</v>
      </c>
      <c r="N25" s="5">
        <f t="shared" ca="1" si="12"/>
        <v>96</v>
      </c>
      <c r="O25" s="5">
        <f t="shared" ca="1" si="3"/>
        <v>4</v>
      </c>
      <c r="P25" s="5">
        <f t="shared" ca="1" si="13"/>
        <v>0</v>
      </c>
    </row>
    <row r="26" spans="1:16" x14ac:dyDescent="0.25">
      <c r="A26" s="5">
        <v>195</v>
      </c>
      <c r="B26" s="5">
        <f t="shared" ca="1" si="0"/>
        <v>0.89640952009960018</v>
      </c>
      <c r="C26" s="5">
        <f t="shared" ca="1" si="4"/>
        <v>104</v>
      </c>
      <c r="D26" s="5">
        <f t="shared" ca="1" si="5"/>
        <v>0.64127260087268523</v>
      </c>
      <c r="E26" s="5">
        <f t="shared" ca="1" si="6"/>
        <v>3</v>
      </c>
      <c r="F26" s="5">
        <f t="shared" ca="1" si="7"/>
        <v>101</v>
      </c>
      <c r="G26" s="5">
        <f t="shared" ca="1" si="1"/>
        <v>-1</v>
      </c>
      <c r="H26" s="5">
        <f t="shared" ca="1" si="8"/>
        <v>1</v>
      </c>
      <c r="I26" s="5">
        <v>238</v>
      </c>
      <c r="J26" s="5">
        <f t="shared" ca="1" si="2"/>
        <v>0.78974792186309173</v>
      </c>
      <c r="K26" s="5">
        <f t="shared" ca="1" si="9"/>
        <v>103</v>
      </c>
      <c r="L26" s="5">
        <f t="shared" ca="1" si="10"/>
        <v>0.63851700865475036</v>
      </c>
      <c r="M26" s="5">
        <f t="shared" ca="1" si="11"/>
        <v>3</v>
      </c>
      <c r="N26" s="5">
        <f t="shared" ca="1" si="12"/>
        <v>100</v>
      </c>
      <c r="O26" s="5">
        <f t="shared" ca="1" si="3"/>
        <v>0</v>
      </c>
      <c r="P26" s="5">
        <f t="shared" ca="1" si="13"/>
        <v>0</v>
      </c>
    </row>
    <row r="27" spans="1:16" x14ac:dyDescent="0.25">
      <c r="A27" s="5">
        <v>196</v>
      </c>
      <c r="B27" s="5">
        <f t="shared" ca="1" si="0"/>
        <v>0.74335934659957847</v>
      </c>
      <c r="C27" s="5">
        <f t="shared" ca="1" si="4"/>
        <v>103</v>
      </c>
      <c r="D27" s="5">
        <f t="shared" ca="1" si="5"/>
        <v>0.43879479997567528</v>
      </c>
      <c r="E27" s="5">
        <f t="shared" ca="1" si="6"/>
        <v>2</v>
      </c>
      <c r="F27" s="5">
        <f t="shared" ca="1" si="7"/>
        <v>101</v>
      </c>
      <c r="G27" s="5">
        <f t="shared" ca="1" si="1"/>
        <v>-1</v>
      </c>
      <c r="H27" s="5">
        <f t="shared" ca="1" si="8"/>
        <v>1</v>
      </c>
      <c r="I27" s="5">
        <v>239</v>
      </c>
      <c r="J27" s="5">
        <f t="shared" ca="1" si="2"/>
        <v>0.46017118662978773</v>
      </c>
      <c r="K27" s="5">
        <f t="shared" ca="1" si="9"/>
        <v>100</v>
      </c>
      <c r="L27" s="5">
        <f t="shared" ca="1" si="10"/>
        <v>0.90803779830715736</v>
      </c>
      <c r="M27" s="5">
        <f t="shared" ca="1" si="11"/>
        <v>4</v>
      </c>
      <c r="N27" s="5">
        <f t="shared" ca="1" si="12"/>
        <v>96</v>
      </c>
      <c r="O27" s="5">
        <f t="shared" ca="1" si="3"/>
        <v>4</v>
      </c>
      <c r="P27" s="5">
        <f t="shared" ca="1" si="13"/>
        <v>0</v>
      </c>
    </row>
    <row r="28" spans="1:16" x14ac:dyDescent="0.25">
      <c r="A28" s="5">
        <v>197</v>
      </c>
      <c r="B28" s="5">
        <f t="shared" ca="1" si="0"/>
        <v>0.91546554879231801</v>
      </c>
      <c r="C28" s="5">
        <f t="shared" ca="1" si="4"/>
        <v>104</v>
      </c>
      <c r="D28" s="5">
        <f t="shared" ca="1" si="5"/>
        <v>8.5897945647104956E-2</v>
      </c>
      <c r="E28" s="5">
        <f t="shared" ca="1" si="6"/>
        <v>0</v>
      </c>
      <c r="F28" s="5">
        <f t="shared" ca="1" si="7"/>
        <v>104</v>
      </c>
      <c r="G28" s="5">
        <f t="shared" ca="1" si="1"/>
        <v>-4</v>
      </c>
      <c r="H28" s="5">
        <f t="shared" ca="1" si="8"/>
        <v>1</v>
      </c>
      <c r="I28" s="5">
        <v>240</v>
      </c>
      <c r="J28" s="5">
        <f t="shared" ca="1" si="2"/>
        <v>0.70557337445638069</v>
      </c>
      <c r="K28" s="5">
        <f t="shared" ca="1" si="9"/>
        <v>102</v>
      </c>
      <c r="L28" s="5">
        <f t="shared" ca="1" si="10"/>
        <v>0.58986655886708417</v>
      </c>
      <c r="M28" s="5">
        <f t="shared" ca="1" si="11"/>
        <v>3</v>
      </c>
      <c r="N28" s="5">
        <f t="shared" ca="1" si="12"/>
        <v>99</v>
      </c>
      <c r="O28" s="5">
        <f t="shared" ca="1" si="3"/>
        <v>1</v>
      </c>
      <c r="P28" s="5">
        <f t="shared" ca="1" si="13"/>
        <v>0</v>
      </c>
    </row>
    <row r="29" spans="1:16" x14ac:dyDescent="0.25">
      <c r="A29" s="5">
        <v>198</v>
      </c>
      <c r="B29" s="5">
        <f t="shared" ca="1" si="0"/>
        <v>0.61369000152155251</v>
      </c>
      <c r="C29" s="5">
        <f t="shared" ca="1" si="4"/>
        <v>102</v>
      </c>
      <c r="D29" s="5">
        <f t="shared" ca="1" si="5"/>
        <v>0.31541796192796612</v>
      </c>
      <c r="E29" s="5">
        <f t="shared" ca="1" si="6"/>
        <v>2</v>
      </c>
      <c r="F29" s="5">
        <f t="shared" ca="1" si="7"/>
        <v>100</v>
      </c>
      <c r="G29" s="5">
        <f t="shared" ca="1" si="1"/>
        <v>0</v>
      </c>
      <c r="H29" s="5">
        <f t="shared" ca="1" si="8"/>
        <v>0</v>
      </c>
      <c r="I29" s="5">
        <v>241</v>
      </c>
      <c r="J29" s="5">
        <f t="shared" ca="1" si="2"/>
        <v>0.83473686331454233</v>
      </c>
      <c r="K29" s="5">
        <f t="shared" ca="1" si="9"/>
        <v>104</v>
      </c>
      <c r="L29" s="5">
        <f t="shared" ca="1" si="10"/>
        <v>0.372332947831433</v>
      </c>
      <c r="M29" s="5">
        <f t="shared" ca="1" si="11"/>
        <v>2</v>
      </c>
      <c r="N29" s="5">
        <f t="shared" ca="1" si="12"/>
        <v>102</v>
      </c>
      <c r="O29" s="5">
        <f t="shared" ca="1" si="3"/>
        <v>-2</v>
      </c>
      <c r="P29" s="5">
        <f t="shared" ca="1" si="13"/>
        <v>1</v>
      </c>
    </row>
    <row r="30" spans="1:16" x14ac:dyDescent="0.25">
      <c r="A30" s="5">
        <v>199</v>
      </c>
      <c r="B30" s="5">
        <f t="shared" ca="1" si="0"/>
        <v>0.67641832548195213</v>
      </c>
      <c r="C30" s="5">
        <f t="shared" ca="1" si="4"/>
        <v>102</v>
      </c>
      <c r="D30" s="5">
        <f t="shared" ca="1" si="5"/>
        <v>0.14474970072775772</v>
      </c>
      <c r="E30" s="5">
        <f t="shared" ca="1" si="6"/>
        <v>1</v>
      </c>
      <c r="F30" s="5">
        <f t="shared" ca="1" si="7"/>
        <v>101</v>
      </c>
      <c r="G30" s="5">
        <f t="shared" ca="1" si="1"/>
        <v>-1</v>
      </c>
      <c r="H30" s="5">
        <f t="shared" ca="1" si="8"/>
        <v>1</v>
      </c>
      <c r="I30" s="5">
        <v>242</v>
      </c>
      <c r="J30" s="5">
        <f t="shared" ca="1" si="2"/>
        <v>0.94793504214221047</v>
      </c>
      <c r="K30" s="5">
        <f t="shared" ca="1" si="9"/>
        <v>105</v>
      </c>
      <c r="L30" s="5">
        <f t="shared" ca="1" si="10"/>
        <v>0.81552329224940123</v>
      </c>
      <c r="M30" s="5">
        <f t="shared" ca="1" si="11"/>
        <v>3</v>
      </c>
      <c r="N30" s="5">
        <f t="shared" ca="1" si="12"/>
        <v>102</v>
      </c>
      <c r="O30" s="5">
        <f t="shared" ca="1" si="3"/>
        <v>-2</v>
      </c>
      <c r="P30" s="5">
        <f t="shared" ca="1" si="13"/>
        <v>1</v>
      </c>
    </row>
    <row r="31" spans="1:16" x14ac:dyDescent="0.25">
      <c r="A31" s="5">
        <v>200</v>
      </c>
      <c r="B31" s="5">
        <f t="shared" ca="1" si="0"/>
        <v>0.39164614845835899</v>
      </c>
      <c r="C31" s="5">
        <f t="shared" ca="1" si="4"/>
        <v>100</v>
      </c>
      <c r="D31" s="5">
        <f t="shared" ca="1" si="5"/>
        <v>0.82096995397772721</v>
      </c>
      <c r="E31" s="5">
        <f t="shared" ca="1" si="6"/>
        <v>3</v>
      </c>
      <c r="F31" s="5">
        <f t="shared" ca="1" si="7"/>
        <v>97</v>
      </c>
      <c r="G31" s="5">
        <f t="shared" ca="1" si="1"/>
        <v>3</v>
      </c>
      <c r="H31" s="5">
        <f t="shared" ca="1" si="8"/>
        <v>0</v>
      </c>
      <c r="I31" s="5">
        <v>243</v>
      </c>
      <c r="J31" s="5">
        <f t="shared" ca="1" si="2"/>
        <v>0.15505870397332278</v>
      </c>
      <c r="K31" s="5">
        <f t="shared" ca="1" si="9"/>
        <v>97</v>
      </c>
      <c r="L31" s="5">
        <f t="shared" ca="1" si="10"/>
        <v>4.9039529210378241E-2</v>
      </c>
      <c r="M31" s="5">
        <f t="shared" ca="1" si="11"/>
        <v>0</v>
      </c>
      <c r="N31" s="5">
        <f t="shared" ca="1" si="12"/>
        <v>97</v>
      </c>
      <c r="O31" s="5">
        <f t="shared" ca="1" si="3"/>
        <v>3</v>
      </c>
      <c r="P31" s="5">
        <f t="shared" ca="1" si="13"/>
        <v>0</v>
      </c>
    </row>
    <row r="32" spans="1:16" x14ac:dyDescent="0.25">
      <c r="A32" s="5">
        <v>201</v>
      </c>
      <c r="B32" s="5">
        <f t="shared" ca="1" si="0"/>
        <v>0.77156242095415051</v>
      </c>
      <c r="C32" s="5">
        <f t="shared" ca="1" si="4"/>
        <v>103</v>
      </c>
      <c r="D32" s="5">
        <f t="shared" ca="1" si="5"/>
        <v>0.1296077807104844</v>
      </c>
      <c r="E32" s="5">
        <f t="shared" ca="1" si="6"/>
        <v>1</v>
      </c>
      <c r="F32" s="5">
        <f t="shared" ca="1" si="7"/>
        <v>102</v>
      </c>
      <c r="G32" s="5">
        <f t="shared" ca="1" si="1"/>
        <v>-2</v>
      </c>
      <c r="H32" s="5">
        <f t="shared" ca="1" si="8"/>
        <v>1</v>
      </c>
      <c r="I32" s="5">
        <v>244</v>
      </c>
      <c r="J32" s="5">
        <f t="shared" ca="1" si="2"/>
        <v>0.17738275338859855</v>
      </c>
      <c r="K32" s="5">
        <f t="shared" ca="1" si="9"/>
        <v>98</v>
      </c>
      <c r="L32" s="5">
        <f t="shared" ca="1" si="10"/>
        <v>0.85369874446433125</v>
      </c>
      <c r="M32" s="5">
        <f t="shared" ca="1" si="11"/>
        <v>4</v>
      </c>
      <c r="N32" s="5">
        <f t="shared" ca="1" si="12"/>
        <v>94</v>
      </c>
      <c r="O32" s="5">
        <f t="shared" ca="1" si="3"/>
        <v>6</v>
      </c>
      <c r="P32" s="5">
        <f t="shared" ca="1" si="13"/>
        <v>0</v>
      </c>
    </row>
    <row r="33" spans="1:16" x14ac:dyDescent="0.25">
      <c r="A33" s="5">
        <v>202</v>
      </c>
      <c r="B33" s="5">
        <f t="shared" ca="1" si="0"/>
        <v>0.86044060676777046</v>
      </c>
      <c r="C33" s="5">
        <f t="shared" ca="1" si="4"/>
        <v>104</v>
      </c>
      <c r="D33" s="5">
        <f t="shared" ca="1" si="5"/>
        <v>0.61360020277833982</v>
      </c>
      <c r="E33" s="5">
        <f t="shared" ca="1" si="6"/>
        <v>3</v>
      </c>
      <c r="F33" s="5">
        <f t="shared" ca="1" si="7"/>
        <v>101</v>
      </c>
      <c r="G33" s="5">
        <f t="shared" ca="1" si="1"/>
        <v>-1</v>
      </c>
      <c r="H33" s="5">
        <f t="shared" ca="1" si="8"/>
        <v>1</v>
      </c>
      <c r="I33" s="5">
        <v>245</v>
      </c>
      <c r="J33" s="5">
        <f t="shared" ca="1" si="2"/>
        <v>0.90402001041380209</v>
      </c>
      <c r="K33" s="5">
        <f t="shared" ca="1" si="9"/>
        <v>104</v>
      </c>
      <c r="L33" s="5">
        <f t="shared" ca="1" si="10"/>
        <v>0.51190257031202469</v>
      </c>
      <c r="M33" s="5">
        <f t="shared" ca="1" si="11"/>
        <v>2</v>
      </c>
      <c r="N33" s="5">
        <f t="shared" ca="1" si="12"/>
        <v>102</v>
      </c>
      <c r="O33" s="5">
        <f t="shared" ca="1" si="3"/>
        <v>-2</v>
      </c>
      <c r="P33" s="5">
        <f t="shared" ca="1" si="13"/>
        <v>1</v>
      </c>
    </row>
    <row r="34" spans="1:16" x14ac:dyDescent="0.25">
      <c r="A34" s="5">
        <v>203</v>
      </c>
      <c r="B34" s="5">
        <f t="shared" ca="1" si="0"/>
        <v>0.59485756352561481</v>
      </c>
      <c r="C34" s="5">
        <f t="shared" ca="1" si="4"/>
        <v>101</v>
      </c>
      <c r="D34" s="5">
        <f t="shared" ca="1" si="5"/>
        <v>0.58895341300469839</v>
      </c>
      <c r="E34" s="5">
        <f t="shared" ca="1" si="6"/>
        <v>3</v>
      </c>
      <c r="F34" s="5">
        <f t="shared" ca="1" si="7"/>
        <v>98</v>
      </c>
      <c r="G34" s="5">
        <f t="shared" ca="1" si="1"/>
        <v>2</v>
      </c>
      <c r="H34" s="5">
        <f t="shared" ca="1" si="8"/>
        <v>0</v>
      </c>
      <c r="I34" s="5">
        <v>246</v>
      </c>
      <c r="J34" s="5">
        <f t="shared" ca="1" si="2"/>
        <v>0.23585457361220508</v>
      </c>
      <c r="K34" s="5">
        <f t="shared" ca="1" si="9"/>
        <v>98</v>
      </c>
      <c r="L34" s="5">
        <f t="shared" ca="1" si="10"/>
        <v>0.13471620684616892</v>
      </c>
      <c r="M34" s="5">
        <f t="shared" ca="1" si="11"/>
        <v>1</v>
      </c>
      <c r="N34" s="5">
        <f t="shared" ca="1" si="12"/>
        <v>97</v>
      </c>
      <c r="O34" s="5">
        <f t="shared" ca="1" si="3"/>
        <v>3</v>
      </c>
      <c r="P34" s="5">
        <f t="shared" ca="1" si="13"/>
        <v>0</v>
      </c>
    </row>
    <row r="35" spans="1:16" x14ac:dyDescent="0.25">
      <c r="A35" s="5">
        <v>204</v>
      </c>
      <c r="B35" s="5">
        <f t="shared" ca="1" si="0"/>
        <v>0.2749128436708006</v>
      </c>
      <c r="C35" s="5">
        <f t="shared" ca="1" si="4"/>
        <v>98</v>
      </c>
      <c r="D35" s="5">
        <f t="shared" ca="1" si="5"/>
        <v>0.73605984493276622</v>
      </c>
      <c r="E35" s="5">
        <f t="shared" ca="1" si="6"/>
        <v>3</v>
      </c>
      <c r="F35" s="5">
        <f t="shared" ca="1" si="7"/>
        <v>95</v>
      </c>
      <c r="G35" s="5">
        <f t="shared" ca="1" si="1"/>
        <v>5</v>
      </c>
      <c r="H35" s="5">
        <f t="shared" ca="1" si="8"/>
        <v>0</v>
      </c>
      <c r="I35" s="5">
        <v>247</v>
      </c>
      <c r="J35" s="5">
        <f t="shared" ca="1" si="2"/>
        <v>0.86312220616150692</v>
      </c>
      <c r="K35" s="5">
        <f t="shared" ca="1" si="9"/>
        <v>104</v>
      </c>
      <c r="L35" s="5">
        <f t="shared" ca="1" si="10"/>
        <v>0.75956614588427596</v>
      </c>
      <c r="M35" s="5">
        <f t="shared" ca="1" si="11"/>
        <v>3</v>
      </c>
      <c r="N35" s="5">
        <f t="shared" ca="1" si="12"/>
        <v>101</v>
      </c>
      <c r="O35" s="5">
        <f t="shared" ca="1" si="3"/>
        <v>-1</v>
      </c>
      <c r="P35" s="5">
        <f t="shared" ca="1" si="13"/>
        <v>1</v>
      </c>
    </row>
    <row r="36" spans="1:16" x14ac:dyDescent="0.25">
      <c r="A36" s="5">
        <v>205</v>
      </c>
      <c r="B36" s="5">
        <f t="shared" ca="1" si="0"/>
        <v>0.22869862418633513</v>
      </c>
      <c r="C36" s="5">
        <f t="shared" ca="1" si="4"/>
        <v>98</v>
      </c>
      <c r="D36" s="5">
        <f t="shared" ca="1" si="5"/>
        <v>0.89659442039297876</v>
      </c>
      <c r="E36" s="5">
        <f t="shared" ca="1" si="6"/>
        <v>4</v>
      </c>
      <c r="F36" s="5">
        <f t="shared" ca="1" si="7"/>
        <v>94</v>
      </c>
      <c r="G36" s="5">
        <f t="shared" ca="1" si="1"/>
        <v>6</v>
      </c>
      <c r="H36" s="5">
        <f t="shared" ca="1" si="8"/>
        <v>0</v>
      </c>
      <c r="I36" s="5">
        <v>248</v>
      </c>
      <c r="J36" s="5">
        <f t="shared" ca="1" si="2"/>
        <v>0.25667676519966132</v>
      </c>
      <c r="K36" s="5">
        <f t="shared" ca="1" si="9"/>
        <v>98</v>
      </c>
      <c r="L36" s="5">
        <f t="shared" ca="1" si="10"/>
        <v>0.44350153528886971</v>
      </c>
      <c r="M36" s="5">
        <f t="shared" ca="1" si="11"/>
        <v>2</v>
      </c>
      <c r="N36" s="5">
        <f t="shared" ca="1" si="12"/>
        <v>96</v>
      </c>
      <c r="O36" s="5">
        <f t="shared" ca="1" si="3"/>
        <v>4</v>
      </c>
      <c r="P36" s="5">
        <f t="shared" ca="1" si="13"/>
        <v>0</v>
      </c>
    </row>
    <row r="37" spans="1:16" x14ac:dyDescent="0.25">
      <c r="A37" s="5">
        <v>206</v>
      </c>
      <c r="B37" s="5">
        <f t="shared" ca="1" si="0"/>
        <v>0.74362270918250739</v>
      </c>
      <c r="C37" s="5">
        <f t="shared" ca="1" si="4"/>
        <v>103</v>
      </c>
      <c r="D37" s="5">
        <f t="shared" ca="1" si="5"/>
        <v>0.71213220055843418</v>
      </c>
      <c r="E37" s="5">
        <f t="shared" ca="1" si="6"/>
        <v>3</v>
      </c>
      <c r="F37" s="5">
        <f t="shared" ca="1" si="7"/>
        <v>100</v>
      </c>
      <c r="G37" s="5">
        <f t="shared" ca="1" si="1"/>
        <v>0</v>
      </c>
      <c r="H37" s="5">
        <f t="shared" ca="1" si="8"/>
        <v>0</v>
      </c>
      <c r="I37" s="5">
        <v>249</v>
      </c>
      <c r="J37" s="5">
        <f t="shared" ca="1" si="2"/>
        <v>0.35456917882773265</v>
      </c>
      <c r="K37" s="5">
        <f t="shared" ca="1" si="9"/>
        <v>99</v>
      </c>
      <c r="L37" s="5">
        <f t="shared" ca="1" si="10"/>
        <v>0.43766058263092811</v>
      </c>
      <c r="M37" s="5">
        <f t="shared" ca="1" si="11"/>
        <v>2</v>
      </c>
      <c r="N37" s="5">
        <f t="shared" ca="1" si="12"/>
        <v>97</v>
      </c>
      <c r="O37" s="5">
        <f t="shared" ca="1" si="3"/>
        <v>3</v>
      </c>
      <c r="P37" s="5">
        <f t="shared" ca="1" si="13"/>
        <v>0</v>
      </c>
    </row>
    <row r="38" spans="1:16" x14ac:dyDescent="0.25">
      <c r="A38" s="5">
        <v>207</v>
      </c>
      <c r="B38" s="5">
        <f t="shared" ca="1" si="0"/>
        <v>0.53013656085704397</v>
      </c>
      <c r="C38" s="5">
        <f t="shared" ca="1" si="4"/>
        <v>101</v>
      </c>
      <c r="D38" s="5">
        <f t="shared" ca="1" si="5"/>
        <v>0.50340844806034546</v>
      </c>
      <c r="E38" s="5">
        <f t="shared" ca="1" si="6"/>
        <v>2</v>
      </c>
      <c r="F38" s="5">
        <f t="shared" ca="1" si="7"/>
        <v>99</v>
      </c>
      <c r="G38" s="5">
        <f t="shared" ca="1" si="1"/>
        <v>1</v>
      </c>
      <c r="H38" s="5">
        <f t="shared" ca="1" si="8"/>
        <v>0</v>
      </c>
      <c r="I38" s="5">
        <v>250</v>
      </c>
      <c r="J38" s="5">
        <f t="shared" ca="1" si="2"/>
        <v>0.49829162687414497</v>
      </c>
      <c r="K38" s="5">
        <f t="shared" ca="1" si="9"/>
        <v>100</v>
      </c>
      <c r="L38" s="5">
        <f t="shared" ca="1" si="10"/>
        <v>0.19509999047594495</v>
      </c>
      <c r="M38" s="5">
        <f t="shared" ca="1" si="11"/>
        <v>1</v>
      </c>
      <c r="N38" s="5">
        <f t="shared" ca="1" si="12"/>
        <v>99</v>
      </c>
      <c r="O38" s="5">
        <f t="shared" ca="1" si="3"/>
        <v>1</v>
      </c>
      <c r="P38" s="5">
        <f t="shared" ca="1" si="13"/>
        <v>0</v>
      </c>
    </row>
    <row r="39" spans="1:16" x14ac:dyDescent="0.25">
      <c r="A39" s="5">
        <v>208</v>
      </c>
      <c r="B39" s="5">
        <f t="shared" ca="1" si="0"/>
        <v>0.35402623532746746</v>
      </c>
      <c r="C39" s="5">
        <f t="shared" ca="1" si="4"/>
        <v>99</v>
      </c>
      <c r="D39" s="5">
        <f t="shared" ca="1" si="5"/>
        <v>0.43226178753760125</v>
      </c>
      <c r="E39" s="5">
        <f t="shared" ca="1" si="6"/>
        <v>2</v>
      </c>
      <c r="F39" s="5">
        <f t="shared" ca="1" si="7"/>
        <v>97</v>
      </c>
      <c r="G39" s="5">
        <f t="shared" ca="1" si="1"/>
        <v>3</v>
      </c>
      <c r="H39" s="5">
        <f t="shared" ca="1" si="8"/>
        <v>0</v>
      </c>
      <c r="I39" s="5">
        <v>251</v>
      </c>
      <c r="J39" s="5">
        <f t="shared" ca="1" si="2"/>
        <v>0.36807429511356826</v>
      </c>
      <c r="K39" s="5">
        <f t="shared" ca="1" si="9"/>
        <v>99</v>
      </c>
      <c r="L39" s="5">
        <f t="shared" ca="1" si="10"/>
        <v>0.2951207665648018</v>
      </c>
      <c r="M39" s="5">
        <f t="shared" ca="1" si="11"/>
        <v>1</v>
      </c>
      <c r="N39" s="5">
        <f t="shared" ca="1" si="12"/>
        <v>98</v>
      </c>
      <c r="O39" s="5">
        <f t="shared" ca="1" si="3"/>
        <v>2</v>
      </c>
      <c r="P39" s="5">
        <f t="shared" ca="1" si="13"/>
        <v>0</v>
      </c>
    </row>
    <row r="40" spans="1:16" x14ac:dyDescent="0.25">
      <c r="A40" s="5">
        <v>209</v>
      </c>
      <c r="B40" s="5">
        <f t="shared" ca="1" si="0"/>
        <v>0.56449768803464295</v>
      </c>
      <c r="C40" s="5">
        <f t="shared" ca="1" si="4"/>
        <v>101</v>
      </c>
      <c r="D40" s="5">
        <f t="shared" ca="1" si="5"/>
        <v>0.84664653026987569</v>
      </c>
      <c r="E40" s="5">
        <f t="shared" ca="1" si="6"/>
        <v>3</v>
      </c>
      <c r="F40" s="5">
        <f t="shared" ca="1" si="7"/>
        <v>98</v>
      </c>
      <c r="G40" s="5">
        <f t="shared" ca="1" si="1"/>
        <v>2</v>
      </c>
      <c r="H40" s="5">
        <f t="shared" ca="1" si="8"/>
        <v>0</v>
      </c>
      <c r="I40" s="5">
        <v>252</v>
      </c>
      <c r="J40" s="5">
        <f t="shared" ca="1" si="2"/>
        <v>0.90098952891949269</v>
      </c>
      <c r="K40" s="5">
        <f t="shared" ca="1" si="9"/>
        <v>104</v>
      </c>
      <c r="L40" s="5">
        <f t="shared" ca="1" si="10"/>
        <v>0.32365576502989335</v>
      </c>
      <c r="M40" s="5">
        <f t="shared" ca="1" si="11"/>
        <v>2</v>
      </c>
      <c r="N40" s="5">
        <f t="shared" ca="1" si="12"/>
        <v>102</v>
      </c>
      <c r="O40" s="5">
        <f t="shared" ca="1" si="3"/>
        <v>-2</v>
      </c>
      <c r="P40" s="5">
        <f t="shared" ca="1" si="13"/>
        <v>1</v>
      </c>
    </row>
    <row r="41" spans="1:16" x14ac:dyDescent="0.25">
      <c r="A41" s="5">
        <v>210</v>
      </c>
      <c r="B41" s="5">
        <f t="shared" ca="1" si="0"/>
        <v>0.56315983708445361</v>
      </c>
      <c r="C41" s="5">
        <f t="shared" ca="1" si="4"/>
        <v>101</v>
      </c>
      <c r="D41" s="5">
        <f t="shared" ca="1" si="5"/>
        <v>0.94676418208573743</v>
      </c>
      <c r="E41" s="5">
        <f t="shared" ca="1" si="6"/>
        <v>4</v>
      </c>
      <c r="F41" s="5">
        <f t="shared" ca="1" si="7"/>
        <v>97</v>
      </c>
      <c r="G41" s="5">
        <f t="shared" ca="1" si="1"/>
        <v>3</v>
      </c>
      <c r="H41" s="5">
        <f t="shared" ca="1" si="8"/>
        <v>0</v>
      </c>
      <c r="I41" s="5">
        <v>253</v>
      </c>
      <c r="J41" s="5">
        <f t="shared" ca="1" si="2"/>
        <v>0.89829677489946935</v>
      </c>
      <c r="K41" s="5">
        <f t="shared" ca="1" si="9"/>
        <v>104</v>
      </c>
      <c r="L41" s="5">
        <f t="shared" ca="1" si="10"/>
        <v>0.71378648816479695</v>
      </c>
      <c r="M41" s="5">
        <f t="shared" ca="1" si="11"/>
        <v>3</v>
      </c>
      <c r="N41" s="5">
        <f t="shared" ca="1" si="12"/>
        <v>101</v>
      </c>
      <c r="O41" s="5">
        <f t="shared" ca="1" si="3"/>
        <v>-1</v>
      </c>
      <c r="P41" s="5">
        <f t="shared" ca="1" si="13"/>
        <v>1</v>
      </c>
    </row>
    <row r="42" spans="1:16" x14ac:dyDescent="0.25">
      <c r="A42" s="5">
        <v>211</v>
      </c>
      <c r="B42" s="5">
        <f t="shared" ca="1" si="0"/>
        <v>0.6708152037168198</v>
      </c>
      <c r="C42" s="5">
        <f t="shared" ca="1" si="4"/>
        <v>102</v>
      </c>
      <c r="D42" s="5">
        <f t="shared" ca="1" si="5"/>
        <v>0.22675583760135998</v>
      </c>
      <c r="E42" s="5">
        <f t="shared" ca="1" si="6"/>
        <v>1</v>
      </c>
      <c r="F42" s="5">
        <f t="shared" ca="1" si="7"/>
        <v>101</v>
      </c>
      <c r="G42" s="5">
        <f t="shared" ca="1" si="1"/>
        <v>-1</v>
      </c>
      <c r="H42" s="5">
        <f t="shared" ca="1" si="8"/>
        <v>1</v>
      </c>
      <c r="I42" s="5">
        <v>254</v>
      </c>
      <c r="J42" s="5">
        <f t="shared" ca="1" si="2"/>
        <v>0.8441260496538967</v>
      </c>
      <c r="K42" s="5">
        <f t="shared" ca="1" si="9"/>
        <v>104</v>
      </c>
      <c r="L42" s="5">
        <f t="shared" ca="1" si="10"/>
        <v>0.136474146805866</v>
      </c>
      <c r="M42" s="5">
        <f t="shared" ca="1" si="11"/>
        <v>1</v>
      </c>
      <c r="N42" s="5">
        <f t="shared" ca="1" si="12"/>
        <v>103</v>
      </c>
      <c r="O42" s="5">
        <f t="shared" ca="1" si="3"/>
        <v>-3</v>
      </c>
      <c r="P42" s="5">
        <f t="shared" ca="1" si="13"/>
        <v>1</v>
      </c>
    </row>
    <row r="43" spans="1:16" x14ac:dyDescent="0.25">
      <c r="A43" s="5">
        <v>212</v>
      </c>
      <c r="B43" s="5">
        <f t="shared" ca="1" si="0"/>
        <v>0.70337981023143914</v>
      </c>
      <c r="C43" s="5">
        <f t="shared" ca="1" si="4"/>
        <v>102</v>
      </c>
      <c r="D43" s="5">
        <f t="shared" ca="1" si="5"/>
        <v>0.2295787926866325</v>
      </c>
      <c r="E43" s="5">
        <f t="shared" ca="1" si="6"/>
        <v>1</v>
      </c>
      <c r="F43" s="5">
        <f t="shared" ca="1" si="7"/>
        <v>101</v>
      </c>
      <c r="G43" s="5">
        <f t="shared" ca="1" si="1"/>
        <v>-1</v>
      </c>
      <c r="H43" s="5">
        <f t="shared" ca="1" si="8"/>
        <v>1</v>
      </c>
      <c r="I43" s="5">
        <v>255</v>
      </c>
      <c r="J43" s="5">
        <f t="shared" ca="1" si="2"/>
        <v>0.876217010733915</v>
      </c>
      <c r="K43" s="5">
        <f t="shared" ca="1" si="9"/>
        <v>104</v>
      </c>
      <c r="L43" s="5">
        <f t="shared" ca="1" si="10"/>
        <v>0.20873854421063776</v>
      </c>
      <c r="M43" s="5">
        <f t="shared" ca="1" si="11"/>
        <v>1</v>
      </c>
      <c r="N43" s="5">
        <f t="shared" ca="1" si="12"/>
        <v>103</v>
      </c>
      <c r="O43" s="5">
        <f t="shared" ca="1" si="3"/>
        <v>-3</v>
      </c>
      <c r="P43" s="5">
        <f t="shared" ca="1" si="13"/>
        <v>1</v>
      </c>
    </row>
    <row r="44" spans="1:16" x14ac:dyDescent="0.25">
      <c r="A44" s="5">
        <v>213</v>
      </c>
      <c r="B44" s="5">
        <f t="shared" ca="1" si="0"/>
        <v>0.67814394254157273</v>
      </c>
      <c r="C44" s="5">
        <f t="shared" ca="1" si="4"/>
        <v>102</v>
      </c>
      <c r="D44" s="5">
        <f t="shared" ca="1" si="5"/>
        <v>0.62386368221675459</v>
      </c>
      <c r="E44" s="5">
        <f t="shared" ca="1" si="6"/>
        <v>3</v>
      </c>
      <c r="F44" s="5">
        <f t="shared" ca="1" si="7"/>
        <v>99</v>
      </c>
      <c r="G44" s="5">
        <f t="shared" ca="1" si="1"/>
        <v>1</v>
      </c>
      <c r="H44" s="5">
        <f t="shared" ca="1" si="8"/>
        <v>0</v>
      </c>
      <c r="I44" s="5">
        <v>256</v>
      </c>
      <c r="J44" s="5">
        <f t="shared" ca="1" si="2"/>
        <v>1.473289757500218E-2</v>
      </c>
      <c r="K44" s="5">
        <f t="shared" ca="1" si="9"/>
        <v>96</v>
      </c>
      <c r="L44" s="5">
        <f t="shared" ca="1" si="10"/>
        <v>0.24867212025315699</v>
      </c>
      <c r="M44" s="5">
        <f t="shared" ca="1" si="11"/>
        <v>1</v>
      </c>
      <c r="N44" s="5">
        <f t="shared" ca="1" si="12"/>
        <v>95</v>
      </c>
      <c r="O44" s="5">
        <f t="shared" ca="1" si="3"/>
        <v>5</v>
      </c>
      <c r="P44" s="5">
        <f t="shared" ca="1" si="13"/>
        <v>0</v>
      </c>
    </row>
    <row r="45" spans="1:16" x14ac:dyDescent="0.25">
      <c r="A45" s="5">
        <v>214</v>
      </c>
      <c r="B45" s="5">
        <f t="shared" ca="1" si="0"/>
        <v>0.59895799724780152</v>
      </c>
      <c r="C45" s="5">
        <f t="shared" ca="1" si="4"/>
        <v>101</v>
      </c>
      <c r="D45" s="5">
        <f t="shared" ca="1" si="5"/>
        <v>0.46957460520829464</v>
      </c>
      <c r="E45" s="5">
        <f t="shared" ca="1" si="6"/>
        <v>2</v>
      </c>
      <c r="F45" s="5">
        <f t="shared" ca="1" si="7"/>
        <v>99</v>
      </c>
      <c r="G45" s="5">
        <f t="shared" ca="1" si="1"/>
        <v>1</v>
      </c>
      <c r="H45" s="5">
        <f t="shared" ca="1" si="8"/>
        <v>0</v>
      </c>
      <c r="I45" s="5">
        <v>257</v>
      </c>
      <c r="J45" s="5">
        <f t="shared" ca="1" si="2"/>
        <v>0.72645742063081076</v>
      </c>
      <c r="K45" s="5">
        <f t="shared" ca="1" si="9"/>
        <v>103</v>
      </c>
      <c r="L45" s="5">
        <f t="shared" ca="1" si="10"/>
        <v>9.5503539759716705E-2</v>
      </c>
      <c r="M45" s="5">
        <f t="shared" ca="1" si="11"/>
        <v>0</v>
      </c>
      <c r="N45" s="5">
        <f t="shared" ca="1" si="12"/>
        <v>103</v>
      </c>
      <c r="O45" s="5">
        <f t="shared" ca="1" si="3"/>
        <v>-3</v>
      </c>
      <c r="P45" s="5">
        <f t="shared" ca="1" si="13"/>
        <v>1</v>
      </c>
    </row>
    <row r="46" spans="1:16" x14ac:dyDescent="0.25">
      <c r="A46" s="5">
        <v>215</v>
      </c>
      <c r="B46" s="5">
        <f t="shared" ca="1" si="0"/>
        <v>0.36206020516321258</v>
      </c>
      <c r="C46" s="5">
        <f t="shared" ca="1" si="4"/>
        <v>99</v>
      </c>
      <c r="D46" s="5">
        <f t="shared" ca="1" si="5"/>
        <v>0.13545471119325603</v>
      </c>
      <c r="E46" s="5">
        <f t="shared" ca="1" si="6"/>
        <v>1</v>
      </c>
      <c r="F46" s="5">
        <f t="shared" ca="1" si="7"/>
        <v>98</v>
      </c>
      <c r="G46" s="5">
        <f t="shared" ca="1" si="1"/>
        <v>2</v>
      </c>
      <c r="H46" s="5">
        <f t="shared" ca="1" si="8"/>
        <v>0</v>
      </c>
      <c r="I46" s="5">
        <v>258</v>
      </c>
      <c r="J46" s="5">
        <f t="shared" ca="1" si="2"/>
        <v>0.5580734021248176</v>
      </c>
      <c r="K46" s="5">
        <f ca="1">RESERVACIONES(J46)</f>
        <v>101</v>
      </c>
      <c r="L46" s="5">
        <f t="shared" ca="1" si="10"/>
        <v>0.99469374651781362</v>
      </c>
      <c r="M46" s="5">
        <f t="shared" ca="1" si="11"/>
        <v>5</v>
      </c>
      <c r="N46" s="5">
        <f t="shared" ca="1" si="12"/>
        <v>96</v>
      </c>
      <c r="O46" s="5">
        <f t="shared" ca="1" si="3"/>
        <v>4</v>
      </c>
      <c r="P46" s="5">
        <f t="shared" ca="1" si="13"/>
        <v>0</v>
      </c>
    </row>
    <row r="47" spans="1:16" x14ac:dyDescent="0.25">
      <c r="F47" s="10" t="s">
        <v>40</v>
      </c>
      <c r="G47" s="11"/>
      <c r="H47" s="12">
        <f ca="1">SUM(H4:H46)</f>
        <v>12</v>
      </c>
      <c r="N47" s="10" t="s">
        <v>40</v>
      </c>
      <c r="O47" s="11"/>
      <c r="P47" s="12">
        <f ca="1">SUM(P4:P46)</f>
        <v>17</v>
      </c>
    </row>
  </sheetData>
  <mergeCells count="6">
    <mergeCell ref="A1:H1"/>
    <mergeCell ref="I1:P1"/>
    <mergeCell ref="B2:C2"/>
    <mergeCell ref="D2:E2"/>
    <mergeCell ref="J2:K2"/>
    <mergeCell ref="L2:M2"/>
  </mergeCells>
  <printOptions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47"/>
  <sheetViews>
    <sheetView topLeftCell="A30" workbookViewId="0">
      <selection activeCell="I4" sqref="I4:I46"/>
    </sheetView>
  </sheetViews>
  <sheetFormatPr baseColWidth="10" defaultRowHeight="15" x14ac:dyDescent="0.25"/>
  <cols>
    <col min="1" max="1" width="4" bestFit="1" customWidth="1"/>
    <col min="2" max="2" width="10.42578125" bestFit="1" customWidth="1"/>
    <col min="3" max="3" width="8.85546875" bestFit="1" customWidth="1"/>
    <col min="4" max="4" width="14.42578125" customWidth="1"/>
    <col min="5" max="5" width="8.7109375" bestFit="1" customWidth="1"/>
    <col min="6" max="6" width="15.28515625" customWidth="1"/>
    <col min="7" max="7" width="13.5703125" customWidth="1"/>
    <col min="8" max="8" width="14.42578125" customWidth="1"/>
    <col min="9" max="9" width="4" bestFit="1" customWidth="1"/>
    <col min="10" max="10" width="10.42578125" bestFit="1" customWidth="1"/>
    <col min="11" max="11" width="8.85546875" bestFit="1" customWidth="1"/>
    <col min="12" max="12" width="14.42578125" customWidth="1"/>
    <col min="13" max="13" width="8.7109375" bestFit="1" customWidth="1"/>
    <col min="14" max="14" width="15.28515625" customWidth="1"/>
    <col min="15" max="15" width="13.5703125" customWidth="1"/>
    <col min="16" max="16" width="14.42578125" customWidth="1"/>
  </cols>
  <sheetData>
    <row r="1" spans="1:16" x14ac:dyDescent="0.25">
      <c r="A1" s="30" t="s">
        <v>41</v>
      </c>
      <c r="B1" s="30"/>
      <c r="C1" s="30"/>
      <c r="D1" s="30"/>
      <c r="E1" s="30"/>
      <c r="F1" s="30"/>
      <c r="G1" s="30"/>
      <c r="H1" s="30"/>
      <c r="I1" s="30" t="s">
        <v>41</v>
      </c>
      <c r="J1" s="30"/>
      <c r="K1" s="30"/>
      <c r="L1" s="30"/>
      <c r="M1" s="30"/>
      <c r="N1" s="30"/>
      <c r="O1" s="30"/>
      <c r="P1" s="30"/>
    </row>
    <row r="2" spans="1:16" ht="15" customHeight="1" x14ac:dyDescent="0.25">
      <c r="A2" s="5" t="s">
        <v>20</v>
      </c>
      <c r="B2" s="28" t="s">
        <v>23</v>
      </c>
      <c r="C2" s="28"/>
      <c r="D2" s="29" t="s">
        <v>24</v>
      </c>
      <c r="E2" s="29"/>
      <c r="F2" s="13" t="s">
        <v>37</v>
      </c>
      <c r="G2" s="13" t="s">
        <v>38</v>
      </c>
      <c r="H2" s="13" t="s">
        <v>39</v>
      </c>
      <c r="I2" s="5" t="s">
        <v>20</v>
      </c>
      <c r="J2" s="28" t="s">
        <v>23</v>
      </c>
      <c r="K2" s="28"/>
      <c r="L2" s="29" t="s">
        <v>24</v>
      </c>
      <c r="M2" s="29"/>
      <c r="N2" s="13" t="s">
        <v>37</v>
      </c>
      <c r="O2" s="13" t="s">
        <v>38</v>
      </c>
      <c r="P2" s="13" t="s">
        <v>39</v>
      </c>
    </row>
    <row r="3" spans="1:16" x14ac:dyDescent="0.25">
      <c r="A3" s="5"/>
      <c r="B3" s="5" t="s">
        <v>21</v>
      </c>
      <c r="C3" s="5" t="s">
        <v>22</v>
      </c>
      <c r="D3" s="5" t="s">
        <v>21</v>
      </c>
      <c r="E3" s="5" t="s">
        <v>22</v>
      </c>
      <c r="F3" s="5"/>
      <c r="G3" s="5"/>
      <c r="H3" s="5"/>
      <c r="I3" s="5"/>
      <c r="J3" s="5" t="s">
        <v>21</v>
      </c>
      <c r="K3" s="5" t="s">
        <v>22</v>
      </c>
      <c r="L3" s="5" t="s">
        <v>21</v>
      </c>
      <c r="M3" s="5" t="s">
        <v>22</v>
      </c>
      <c r="N3" s="5"/>
      <c r="O3" s="5"/>
      <c r="P3" s="5"/>
    </row>
    <row r="4" spans="1:16" x14ac:dyDescent="0.25">
      <c r="A4" s="5">
        <v>259</v>
      </c>
      <c r="B4" s="5">
        <f t="shared" ref="B4:B46" ca="1" si="0">RAND()</f>
        <v>3.9403772599531983E-2</v>
      </c>
      <c r="C4" s="5">
        <f ca="1">RESERVACIONES(B4)</f>
        <v>96</v>
      </c>
      <c r="D4" s="5">
        <f ca="1">RAND()</f>
        <v>4.2404897450690315E-2</v>
      </c>
      <c r="E4" s="5">
        <f ca="1">SNASISTENCIA(D4)</f>
        <v>0</v>
      </c>
      <c r="F4" s="5">
        <f ca="1">C4-E4</f>
        <v>96</v>
      </c>
      <c r="G4" s="5">
        <f t="shared" ref="G4:G46" ca="1" si="1">100-F4</f>
        <v>4</v>
      </c>
      <c r="H4" s="5">
        <f ca="1">RECLAMACIONES(G4)</f>
        <v>0</v>
      </c>
      <c r="I4" s="5">
        <v>302</v>
      </c>
      <c r="J4" s="5">
        <f t="shared" ref="J4:J46" ca="1" si="2">RAND()</f>
        <v>0.57425257925334727</v>
      </c>
      <c r="K4" s="5">
        <f ca="1">RESERVACIONES(J4)</f>
        <v>101</v>
      </c>
      <c r="L4" s="5">
        <f ca="1">RAND()</f>
        <v>0.46358809045775284</v>
      </c>
      <c r="M4" s="5">
        <f ca="1">SNASISTENCIA(L4)</f>
        <v>2</v>
      </c>
      <c r="N4" s="5">
        <f ca="1">K4-M4</f>
        <v>99</v>
      </c>
      <c r="O4" s="5">
        <f t="shared" ref="O4:O46" ca="1" si="3">100-N4</f>
        <v>1</v>
      </c>
      <c r="P4" s="5">
        <f ca="1">RECLAMACIONES(O4)</f>
        <v>0</v>
      </c>
    </row>
    <row r="5" spans="1:16" x14ac:dyDescent="0.25">
      <c r="A5" s="5">
        <v>260</v>
      </c>
      <c r="B5" s="5">
        <f t="shared" ca="1" si="0"/>
        <v>0.24272290254991757</v>
      </c>
      <c r="C5" s="5">
        <f t="shared" ref="C5:C46" ca="1" si="4">RESERVACIONES(B5)</f>
        <v>98</v>
      </c>
      <c r="D5" s="5">
        <f t="shared" ref="D5:D46" ca="1" si="5">RAND()</f>
        <v>0.32385729851455736</v>
      </c>
      <c r="E5" s="5">
        <f t="shared" ref="E5:E46" ca="1" si="6">SNASISTENCIA(D5)</f>
        <v>2</v>
      </c>
      <c r="F5" s="5">
        <f t="shared" ref="F5:F46" ca="1" si="7">C5-E5</f>
        <v>96</v>
      </c>
      <c r="G5" s="5">
        <f t="shared" ca="1" si="1"/>
        <v>4</v>
      </c>
      <c r="H5" s="5">
        <f t="shared" ref="H5:H46" ca="1" si="8">RECLAMACIONES(G5)</f>
        <v>0</v>
      </c>
      <c r="I5" s="5">
        <v>303</v>
      </c>
      <c r="J5" s="5">
        <f t="shared" ca="1" si="2"/>
        <v>0.21476233850945659</v>
      </c>
      <c r="K5" s="5">
        <f t="shared" ref="K5:K45" ca="1" si="9">RESERVACIONES(J5)</f>
        <v>98</v>
      </c>
      <c r="L5" s="5">
        <f t="shared" ref="L5:L46" ca="1" si="10">RAND()</f>
        <v>0.32978272074122617</v>
      </c>
      <c r="M5" s="5">
        <f t="shared" ref="M5:M46" ca="1" si="11">SNASISTENCIA(L5)</f>
        <v>2</v>
      </c>
      <c r="N5" s="5">
        <f t="shared" ref="N5:N46" ca="1" si="12">K5-M5</f>
        <v>96</v>
      </c>
      <c r="O5" s="5">
        <f t="shared" ca="1" si="3"/>
        <v>4</v>
      </c>
      <c r="P5" s="5">
        <f t="shared" ref="P5:P46" ca="1" si="13">RECLAMACIONES(O5)</f>
        <v>0</v>
      </c>
    </row>
    <row r="6" spans="1:16" x14ac:dyDescent="0.25">
      <c r="A6" s="5">
        <v>261</v>
      </c>
      <c r="B6" s="5">
        <f t="shared" ca="1" si="0"/>
        <v>0.87027689099407191</v>
      </c>
      <c r="C6" s="5">
        <f t="shared" ca="1" si="4"/>
        <v>104</v>
      </c>
      <c r="D6" s="5">
        <f t="shared" ca="1" si="5"/>
        <v>0.31199151855366436</v>
      </c>
      <c r="E6" s="5">
        <f t="shared" ca="1" si="6"/>
        <v>2</v>
      </c>
      <c r="F6" s="5">
        <f t="shared" ca="1" si="7"/>
        <v>102</v>
      </c>
      <c r="G6" s="5">
        <f t="shared" ca="1" si="1"/>
        <v>-2</v>
      </c>
      <c r="H6" s="5">
        <f t="shared" ca="1" si="8"/>
        <v>1</v>
      </c>
      <c r="I6" s="5">
        <v>304</v>
      </c>
      <c r="J6" s="5">
        <f t="shared" ca="1" si="2"/>
        <v>7.2683880284184044E-2</v>
      </c>
      <c r="K6" s="5">
        <f t="shared" ca="1" si="9"/>
        <v>97</v>
      </c>
      <c r="L6" s="5">
        <f t="shared" ca="1" si="10"/>
        <v>0.17119889292235124</v>
      </c>
      <c r="M6" s="5">
        <f t="shared" ca="1" si="11"/>
        <v>1</v>
      </c>
      <c r="N6" s="5">
        <f t="shared" ca="1" si="12"/>
        <v>96</v>
      </c>
      <c r="O6" s="5">
        <f t="shared" ca="1" si="3"/>
        <v>4</v>
      </c>
      <c r="P6" s="5">
        <f t="shared" ca="1" si="13"/>
        <v>0</v>
      </c>
    </row>
    <row r="7" spans="1:16" x14ac:dyDescent="0.25">
      <c r="A7" s="5">
        <v>262</v>
      </c>
      <c r="B7" s="5">
        <f t="shared" ca="1" si="0"/>
        <v>0.55126218646860525</v>
      </c>
      <c r="C7" s="5">
        <f t="shared" ca="1" si="4"/>
        <v>101</v>
      </c>
      <c r="D7" s="5">
        <f t="shared" ca="1" si="5"/>
        <v>0.74783241388797461</v>
      </c>
      <c r="E7" s="5">
        <f t="shared" ca="1" si="6"/>
        <v>3</v>
      </c>
      <c r="F7" s="5">
        <f t="shared" ca="1" si="7"/>
        <v>98</v>
      </c>
      <c r="G7" s="5">
        <f t="shared" ca="1" si="1"/>
        <v>2</v>
      </c>
      <c r="H7" s="5">
        <f t="shared" ca="1" si="8"/>
        <v>0</v>
      </c>
      <c r="I7" s="5">
        <v>305</v>
      </c>
      <c r="J7" s="5">
        <f t="shared" ca="1" si="2"/>
        <v>0.86256493474200491</v>
      </c>
      <c r="K7" s="5">
        <f t="shared" ca="1" si="9"/>
        <v>104</v>
      </c>
      <c r="L7" s="5">
        <f t="shared" ca="1" si="10"/>
        <v>0.92665803518055256</v>
      </c>
      <c r="M7" s="5">
        <f t="shared" ca="1" si="11"/>
        <v>4</v>
      </c>
      <c r="N7" s="5">
        <f t="shared" ca="1" si="12"/>
        <v>100</v>
      </c>
      <c r="O7" s="5">
        <f t="shared" ca="1" si="3"/>
        <v>0</v>
      </c>
      <c r="P7" s="5">
        <f t="shared" ca="1" si="13"/>
        <v>0</v>
      </c>
    </row>
    <row r="8" spans="1:16" x14ac:dyDescent="0.25">
      <c r="A8" s="5">
        <v>263</v>
      </c>
      <c r="B8" s="5">
        <f t="shared" ca="1" si="0"/>
        <v>0.62277876378077512</v>
      </c>
      <c r="C8" s="5">
        <f t="shared" ca="1" si="4"/>
        <v>102</v>
      </c>
      <c r="D8" s="5">
        <f t="shared" ca="1" si="5"/>
        <v>0.88182944070796443</v>
      </c>
      <c r="E8" s="5">
        <f t="shared" ca="1" si="6"/>
        <v>4</v>
      </c>
      <c r="F8" s="5">
        <f t="shared" ca="1" si="7"/>
        <v>98</v>
      </c>
      <c r="G8" s="5">
        <f t="shared" ca="1" si="1"/>
        <v>2</v>
      </c>
      <c r="H8" s="5">
        <f t="shared" ca="1" si="8"/>
        <v>0</v>
      </c>
      <c r="I8" s="5">
        <v>306</v>
      </c>
      <c r="J8" s="5">
        <f t="shared" ca="1" si="2"/>
        <v>0.60265312536794258</v>
      </c>
      <c r="K8" s="5">
        <f t="shared" ca="1" si="9"/>
        <v>101</v>
      </c>
      <c r="L8" s="5">
        <f t="shared" ca="1" si="10"/>
        <v>0.59231848005584042</v>
      </c>
      <c r="M8" s="5">
        <f t="shared" ca="1" si="11"/>
        <v>3</v>
      </c>
      <c r="N8" s="5">
        <f t="shared" ca="1" si="12"/>
        <v>98</v>
      </c>
      <c r="O8" s="5">
        <f t="shared" ca="1" si="3"/>
        <v>2</v>
      </c>
      <c r="P8" s="5">
        <f t="shared" ca="1" si="13"/>
        <v>0</v>
      </c>
    </row>
    <row r="9" spans="1:16" x14ac:dyDescent="0.25">
      <c r="A9" s="5">
        <v>264</v>
      </c>
      <c r="B9" s="5">
        <f t="shared" ca="1" si="0"/>
        <v>0.19079823955179787</v>
      </c>
      <c r="C9" s="5">
        <f t="shared" ca="1" si="4"/>
        <v>98</v>
      </c>
      <c r="D9" s="5">
        <f t="shared" ca="1" si="5"/>
        <v>0.51856684216760729</v>
      </c>
      <c r="E9" s="5">
        <f t="shared" ca="1" si="6"/>
        <v>2</v>
      </c>
      <c r="F9" s="5">
        <f t="shared" ca="1" si="7"/>
        <v>96</v>
      </c>
      <c r="G9" s="5">
        <f t="shared" ca="1" si="1"/>
        <v>4</v>
      </c>
      <c r="H9" s="5">
        <f t="shared" ca="1" si="8"/>
        <v>0</v>
      </c>
      <c r="I9" s="5">
        <v>307</v>
      </c>
      <c r="J9" s="5">
        <f t="shared" ca="1" si="2"/>
        <v>0.21953735123944984</v>
      </c>
      <c r="K9" s="5">
        <f t="shared" ca="1" si="9"/>
        <v>98</v>
      </c>
      <c r="L9" s="5">
        <f t="shared" ca="1" si="10"/>
        <v>0.62204923577660631</v>
      </c>
      <c r="M9" s="5">
        <f t="shared" ca="1" si="11"/>
        <v>3</v>
      </c>
      <c r="N9" s="5">
        <f t="shared" ca="1" si="12"/>
        <v>95</v>
      </c>
      <c r="O9" s="5">
        <f t="shared" ca="1" si="3"/>
        <v>5</v>
      </c>
      <c r="P9" s="5">
        <f t="shared" ca="1" si="13"/>
        <v>0</v>
      </c>
    </row>
    <row r="10" spans="1:16" x14ac:dyDescent="0.25">
      <c r="A10" s="5">
        <v>265</v>
      </c>
      <c r="B10" s="5">
        <f t="shared" ca="1" si="0"/>
        <v>0.48470256820362057</v>
      </c>
      <c r="C10" s="5">
        <f t="shared" ca="1" si="4"/>
        <v>100</v>
      </c>
      <c r="D10" s="5">
        <f t="shared" ca="1" si="5"/>
        <v>0.22787291184119995</v>
      </c>
      <c r="E10" s="5">
        <f t="shared" ca="1" si="6"/>
        <v>1</v>
      </c>
      <c r="F10" s="5">
        <f t="shared" ca="1" si="7"/>
        <v>99</v>
      </c>
      <c r="G10" s="5">
        <f t="shared" ca="1" si="1"/>
        <v>1</v>
      </c>
      <c r="H10" s="5">
        <f t="shared" ca="1" si="8"/>
        <v>0</v>
      </c>
      <c r="I10" s="5">
        <v>308</v>
      </c>
      <c r="J10" s="5">
        <f t="shared" ca="1" si="2"/>
        <v>0.21819331614759852</v>
      </c>
      <c r="K10" s="5">
        <f t="shared" ca="1" si="9"/>
        <v>98</v>
      </c>
      <c r="L10" s="5">
        <f t="shared" ca="1" si="10"/>
        <v>0.1473854096846906</v>
      </c>
      <c r="M10" s="5">
        <f t="shared" ca="1" si="11"/>
        <v>1</v>
      </c>
      <c r="N10" s="5">
        <f t="shared" ca="1" si="12"/>
        <v>97</v>
      </c>
      <c r="O10" s="5">
        <f t="shared" ca="1" si="3"/>
        <v>3</v>
      </c>
      <c r="P10" s="5">
        <f t="shared" ca="1" si="13"/>
        <v>0</v>
      </c>
    </row>
    <row r="11" spans="1:16" x14ac:dyDescent="0.25">
      <c r="A11" s="5">
        <v>266</v>
      </c>
      <c r="B11" s="5">
        <f t="shared" ca="1" si="0"/>
        <v>0.31256044516729409</v>
      </c>
      <c r="C11" s="5">
        <f t="shared" ca="1" si="4"/>
        <v>99</v>
      </c>
      <c r="D11" s="5">
        <f t="shared" ca="1" si="5"/>
        <v>9.0166592802130019E-2</v>
      </c>
      <c r="E11" s="5">
        <f t="shared" ca="1" si="6"/>
        <v>0</v>
      </c>
      <c r="F11" s="5">
        <f t="shared" ca="1" si="7"/>
        <v>99</v>
      </c>
      <c r="G11" s="5">
        <f t="shared" ca="1" si="1"/>
        <v>1</v>
      </c>
      <c r="H11" s="5">
        <f t="shared" ca="1" si="8"/>
        <v>0</v>
      </c>
      <c r="I11" s="5">
        <v>309</v>
      </c>
      <c r="J11" s="5">
        <f t="shared" ca="1" si="2"/>
        <v>0.95340291569477464</v>
      </c>
      <c r="K11" s="5">
        <f t="shared" ca="1" si="9"/>
        <v>105</v>
      </c>
      <c r="L11" s="5">
        <f t="shared" ca="1" si="10"/>
        <v>0.18375642943507531</v>
      </c>
      <c r="M11" s="5">
        <f t="shared" ca="1" si="11"/>
        <v>1</v>
      </c>
      <c r="N11" s="5">
        <f t="shared" ca="1" si="12"/>
        <v>104</v>
      </c>
      <c r="O11" s="5">
        <f t="shared" ca="1" si="3"/>
        <v>-4</v>
      </c>
      <c r="P11" s="5">
        <f t="shared" ca="1" si="13"/>
        <v>1</v>
      </c>
    </row>
    <row r="12" spans="1:16" x14ac:dyDescent="0.25">
      <c r="A12" s="5">
        <v>267</v>
      </c>
      <c r="B12" s="5">
        <f t="shared" ca="1" si="0"/>
        <v>0.23199818667320238</v>
      </c>
      <c r="C12" s="5">
        <f t="shared" ca="1" si="4"/>
        <v>98</v>
      </c>
      <c r="D12" s="5">
        <f t="shared" ca="1" si="5"/>
        <v>0.31311110434661871</v>
      </c>
      <c r="E12" s="5">
        <f t="shared" ca="1" si="6"/>
        <v>2</v>
      </c>
      <c r="F12" s="5">
        <f t="shared" ca="1" si="7"/>
        <v>96</v>
      </c>
      <c r="G12" s="5">
        <f t="shared" ca="1" si="1"/>
        <v>4</v>
      </c>
      <c r="H12" s="5">
        <f t="shared" ca="1" si="8"/>
        <v>0</v>
      </c>
      <c r="I12" s="5">
        <v>310</v>
      </c>
      <c r="J12" s="5">
        <f t="shared" ca="1" si="2"/>
        <v>0.98754849803356526</v>
      </c>
      <c r="K12" s="5">
        <f t="shared" ca="1" si="9"/>
        <v>105</v>
      </c>
      <c r="L12" s="5">
        <f t="shared" ca="1" si="10"/>
        <v>0.37011231113348275</v>
      </c>
      <c r="M12" s="5">
        <f t="shared" ca="1" si="11"/>
        <v>2</v>
      </c>
      <c r="N12" s="5">
        <f t="shared" ca="1" si="12"/>
        <v>103</v>
      </c>
      <c r="O12" s="5">
        <f t="shared" ca="1" si="3"/>
        <v>-3</v>
      </c>
      <c r="P12" s="5">
        <f t="shared" ca="1" si="13"/>
        <v>1</v>
      </c>
    </row>
    <row r="13" spans="1:16" x14ac:dyDescent="0.25">
      <c r="A13" s="5">
        <v>268</v>
      </c>
      <c r="B13" s="5">
        <f t="shared" ca="1" si="0"/>
        <v>0.67081440601403464</v>
      </c>
      <c r="C13" s="5">
        <f t="shared" ca="1" si="4"/>
        <v>102</v>
      </c>
      <c r="D13" s="5">
        <f t="shared" ca="1" si="5"/>
        <v>0.63165789009530582</v>
      </c>
      <c r="E13" s="5">
        <f t="shared" ca="1" si="6"/>
        <v>3</v>
      </c>
      <c r="F13" s="5">
        <f t="shared" ca="1" si="7"/>
        <v>99</v>
      </c>
      <c r="G13" s="5">
        <f t="shared" ca="1" si="1"/>
        <v>1</v>
      </c>
      <c r="H13" s="5">
        <f t="shared" ca="1" si="8"/>
        <v>0</v>
      </c>
      <c r="I13" s="5">
        <v>311</v>
      </c>
      <c r="J13" s="5">
        <f t="shared" ca="1" si="2"/>
        <v>0.86474976345582322</v>
      </c>
      <c r="K13" s="5">
        <f t="shared" ca="1" si="9"/>
        <v>104</v>
      </c>
      <c r="L13" s="5">
        <f t="shared" ca="1" si="10"/>
        <v>0.32475142588994033</v>
      </c>
      <c r="M13" s="5">
        <f t="shared" ca="1" si="11"/>
        <v>2</v>
      </c>
      <c r="N13" s="5">
        <f t="shared" ca="1" si="12"/>
        <v>102</v>
      </c>
      <c r="O13" s="5">
        <f t="shared" ca="1" si="3"/>
        <v>-2</v>
      </c>
      <c r="P13" s="5">
        <f t="shared" ca="1" si="13"/>
        <v>1</v>
      </c>
    </row>
    <row r="14" spans="1:16" x14ac:dyDescent="0.25">
      <c r="A14" s="5">
        <v>269</v>
      </c>
      <c r="B14" s="5">
        <f t="shared" ca="1" si="0"/>
        <v>0.83339495342716507</v>
      </c>
      <c r="C14" s="5">
        <f t="shared" ca="1" si="4"/>
        <v>104</v>
      </c>
      <c r="D14" s="5">
        <f t="shared" ca="1" si="5"/>
        <v>0.97020504787795414</v>
      </c>
      <c r="E14" s="5">
        <f t="shared" ca="1" si="6"/>
        <v>5</v>
      </c>
      <c r="F14" s="5">
        <f t="shared" ca="1" si="7"/>
        <v>99</v>
      </c>
      <c r="G14" s="5">
        <f t="shared" ca="1" si="1"/>
        <v>1</v>
      </c>
      <c r="H14" s="5">
        <f t="shared" ca="1" si="8"/>
        <v>0</v>
      </c>
      <c r="I14" s="5">
        <v>312</v>
      </c>
      <c r="J14" s="5">
        <f t="shared" ca="1" si="2"/>
        <v>0.87669194546390539</v>
      </c>
      <c r="K14" s="5">
        <f t="shared" ca="1" si="9"/>
        <v>104</v>
      </c>
      <c r="L14" s="5">
        <f t="shared" ca="1" si="10"/>
        <v>7.2309903113047747E-2</v>
      </c>
      <c r="M14" s="5">
        <f t="shared" ca="1" si="11"/>
        <v>0</v>
      </c>
      <c r="N14" s="5">
        <f t="shared" ca="1" si="12"/>
        <v>104</v>
      </c>
      <c r="O14" s="5">
        <f t="shared" ca="1" si="3"/>
        <v>-4</v>
      </c>
      <c r="P14" s="5">
        <f t="shared" ca="1" si="13"/>
        <v>1</v>
      </c>
    </row>
    <row r="15" spans="1:16" x14ac:dyDescent="0.25">
      <c r="A15" s="5">
        <v>270</v>
      </c>
      <c r="B15" s="5">
        <f t="shared" ca="1" si="0"/>
        <v>0.65111376306740509</v>
      </c>
      <c r="C15" s="5">
        <f t="shared" ca="1" si="4"/>
        <v>102</v>
      </c>
      <c r="D15" s="5">
        <f t="shared" ca="1" si="5"/>
        <v>0.45486804366710387</v>
      </c>
      <c r="E15" s="5">
        <f t="shared" ca="1" si="6"/>
        <v>2</v>
      </c>
      <c r="F15" s="5">
        <f t="shared" ca="1" si="7"/>
        <v>100</v>
      </c>
      <c r="G15" s="5">
        <f t="shared" ca="1" si="1"/>
        <v>0</v>
      </c>
      <c r="H15" s="5">
        <f t="shared" ca="1" si="8"/>
        <v>0</v>
      </c>
      <c r="I15" s="5">
        <v>313</v>
      </c>
      <c r="J15" s="5">
        <f t="shared" ca="1" si="2"/>
        <v>3.404409599323277E-2</v>
      </c>
      <c r="K15" s="5">
        <f t="shared" ca="1" si="9"/>
        <v>96</v>
      </c>
      <c r="L15" s="5">
        <f t="shared" ca="1" si="10"/>
        <v>0.31754062242811643</v>
      </c>
      <c r="M15" s="5">
        <f t="shared" ca="1" si="11"/>
        <v>2</v>
      </c>
      <c r="N15" s="5">
        <f t="shared" ca="1" si="12"/>
        <v>94</v>
      </c>
      <c r="O15" s="5">
        <f t="shared" ca="1" si="3"/>
        <v>6</v>
      </c>
      <c r="P15" s="5">
        <f t="shared" ca="1" si="13"/>
        <v>0</v>
      </c>
    </row>
    <row r="16" spans="1:16" x14ac:dyDescent="0.25">
      <c r="A16" s="5">
        <v>271</v>
      </c>
      <c r="B16" s="5">
        <f t="shared" ca="1" si="0"/>
        <v>0.61617248842201144</v>
      </c>
      <c r="C16" s="5">
        <f t="shared" ca="1" si="4"/>
        <v>102</v>
      </c>
      <c r="D16" s="5">
        <f t="shared" ca="1" si="5"/>
        <v>0.73945918550479428</v>
      </c>
      <c r="E16" s="5">
        <f t="shared" ca="1" si="6"/>
        <v>3</v>
      </c>
      <c r="F16" s="5">
        <f t="shared" ca="1" si="7"/>
        <v>99</v>
      </c>
      <c r="G16" s="5">
        <f t="shared" ca="1" si="1"/>
        <v>1</v>
      </c>
      <c r="H16" s="5">
        <f t="shared" ca="1" si="8"/>
        <v>0</v>
      </c>
      <c r="I16" s="5">
        <v>314</v>
      </c>
      <c r="J16" s="5">
        <f t="shared" ca="1" si="2"/>
        <v>0.5905667219558034</v>
      </c>
      <c r="K16" s="5">
        <f t="shared" ca="1" si="9"/>
        <v>101</v>
      </c>
      <c r="L16" s="5">
        <f t="shared" ca="1" si="10"/>
        <v>0.17449859647315646</v>
      </c>
      <c r="M16" s="5">
        <f t="shared" ca="1" si="11"/>
        <v>1</v>
      </c>
      <c r="N16" s="5">
        <f t="shared" ca="1" si="12"/>
        <v>100</v>
      </c>
      <c r="O16" s="5">
        <f t="shared" ca="1" si="3"/>
        <v>0</v>
      </c>
      <c r="P16" s="5">
        <f t="shared" ca="1" si="13"/>
        <v>0</v>
      </c>
    </row>
    <row r="17" spans="1:16" x14ac:dyDescent="0.25">
      <c r="A17" s="5">
        <v>272</v>
      </c>
      <c r="B17" s="5">
        <f t="shared" ca="1" si="0"/>
        <v>0.99926649904026077</v>
      </c>
      <c r="C17" s="5">
        <f t="shared" ca="1" si="4"/>
        <v>105</v>
      </c>
      <c r="D17" s="5">
        <f t="shared" ca="1" si="5"/>
        <v>0.36203465226574627</v>
      </c>
      <c r="E17" s="5">
        <f t="shared" ca="1" si="6"/>
        <v>2</v>
      </c>
      <c r="F17" s="5">
        <f t="shared" ca="1" si="7"/>
        <v>103</v>
      </c>
      <c r="G17" s="5">
        <f t="shared" ca="1" si="1"/>
        <v>-3</v>
      </c>
      <c r="H17" s="5">
        <f t="shared" ca="1" si="8"/>
        <v>1</v>
      </c>
      <c r="I17" s="5">
        <v>315</v>
      </c>
      <c r="J17" s="5">
        <f t="shared" ca="1" si="2"/>
        <v>0.44562590121826673</v>
      </c>
      <c r="K17" s="5">
        <f t="shared" ca="1" si="9"/>
        <v>100</v>
      </c>
      <c r="L17" s="5">
        <f t="shared" ca="1" si="10"/>
        <v>0.84760179529972379</v>
      </c>
      <c r="M17" s="5">
        <f t="shared" ca="1" si="11"/>
        <v>3</v>
      </c>
      <c r="N17" s="5">
        <f t="shared" ca="1" si="12"/>
        <v>97</v>
      </c>
      <c r="O17" s="5">
        <f t="shared" ca="1" si="3"/>
        <v>3</v>
      </c>
      <c r="P17" s="5">
        <f t="shared" ca="1" si="13"/>
        <v>0</v>
      </c>
    </row>
    <row r="18" spans="1:16" x14ac:dyDescent="0.25">
      <c r="A18" s="5">
        <v>273</v>
      </c>
      <c r="B18" s="5">
        <f t="shared" ca="1" si="0"/>
        <v>0.94095377025143179</v>
      </c>
      <c r="C18" s="5">
        <f t="shared" ca="1" si="4"/>
        <v>104</v>
      </c>
      <c r="D18" s="5">
        <f t="shared" ca="1" si="5"/>
        <v>2.5447404474430169E-2</v>
      </c>
      <c r="E18" s="5">
        <f t="shared" ca="1" si="6"/>
        <v>0</v>
      </c>
      <c r="F18" s="5">
        <f t="shared" ca="1" si="7"/>
        <v>104</v>
      </c>
      <c r="G18" s="5">
        <f t="shared" ca="1" si="1"/>
        <v>-4</v>
      </c>
      <c r="H18" s="5">
        <f t="shared" ca="1" si="8"/>
        <v>1</v>
      </c>
      <c r="I18" s="5">
        <v>316</v>
      </c>
      <c r="J18" s="5">
        <f t="shared" ca="1" si="2"/>
        <v>0.88524015536590384</v>
      </c>
      <c r="K18" s="5">
        <f t="shared" ca="1" si="9"/>
        <v>104</v>
      </c>
      <c r="L18" s="5">
        <f t="shared" ca="1" si="10"/>
        <v>3.9318230112220354E-2</v>
      </c>
      <c r="M18" s="5">
        <f t="shared" ca="1" si="11"/>
        <v>0</v>
      </c>
      <c r="N18" s="5">
        <f t="shared" ca="1" si="12"/>
        <v>104</v>
      </c>
      <c r="O18" s="5">
        <f t="shared" ca="1" si="3"/>
        <v>-4</v>
      </c>
      <c r="P18" s="5">
        <f t="shared" ca="1" si="13"/>
        <v>1</v>
      </c>
    </row>
    <row r="19" spans="1:16" x14ac:dyDescent="0.25">
      <c r="A19" s="5">
        <v>274</v>
      </c>
      <c r="B19" s="5">
        <f t="shared" ca="1" si="0"/>
        <v>0.99528173939310183</v>
      </c>
      <c r="C19" s="5">
        <f t="shared" ca="1" si="4"/>
        <v>105</v>
      </c>
      <c r="D19" s="5">
        <f t="shared" ca="1" si="5"/>
        <v>0.39295263886238685</v>
      </c>
      <c r="E19" s="5">
        <f t="shared" ca="1" si="6"/>
        <v>2</v>
      </c>
      <c r="F19" s="5">
        <f t="shared" ca="1" si="7"/>
        <v>103</v>
      </c>
      <c r="G19" s="5">
        <f t="shared" ca="1" si="1"/>
        <v>-3</v>
      </c>
      <c r="H19" s="5">
        <f t="shared" ca="1" si="8"/>
        <v>1</v>
      </c>
      <c r="I19" s="5">
        <v>317</v>
      </c>
      <c r="J19" s="5">
        <f t="shared" ca="1" si="2"/>
        <v>0.10815153162962809</v>
      </c>
      <c r="K19" s="5">
        <f t="shared" ca="1" si="9"/>
        <v>97</v>
      </c>
      <c r="L19" s="5">
        <f t="shared" ca="1" si="10"/>
        <v>0.7893290515446536</v>
      </c>
      <c r="M19" s="5">
        <f t="shared" ca="1" si="11"/>
        <v>3</v>
      </c>
      <c r="N19" s="5">
        <f t="shared" ca="1" si="12"/>
        <v>94</v>
      </c>
      <c r="O19" s="5">
        <f t="shared" ca="1" si="3"/>
        <v>6</v>
      </c>
      <c r="P19" s="5">
        <f t="shared" ca="1" si="13"/>
        <v>0</v>
      </c>
    </row>
    <row r="20" spans="1:16" x14ac:dyDescent="0.25">
      <c r="A20" s="5">
        <v>275</v>
      </c>
      <c r="B20" s="5">
        <f t="shared" ca="1" si="0"/>
        <v>1.1106339954234379E-2</v>
      </c>
      <c r="C20" s="5">
        <f t="shared" ca="1" si="4"/>
        <v>96</v>
      </c>
      <c r="D20" s="5">
        <f t="shared" ca="1" si="5"/>
        <v>9.1084001904908618E-3</v>
      </c>
      <c r="E20" s="5">
        <f t="shared" ca="1" si="6"/>
        <v>0</v>
      </c>
      <c r="F20" s="5">
        <f t="shared" ca="1" si="7"/>
        <v>96</v>
      </c>
      <c r="G20" s="5">
        <f t="shared" ca="1" si="1"/>
        <v>4</v>
      </c>
      <c r="H20" s="5">
        <f t="shared" ca="1" si="8"/>
        <v>0</v>
      </c>
      <c r="I20" s="5">
        <v>318</v>
      </c>
      <c r="J20" s="5">
        <f t="shared" ca="1" si="2"/>
        <v>0.21159515890459935</v>
      </c>
      <c r="K20" s="5">
        <f t="shared" ca="1" si="9"/>
        <v>98</v>
      </c>
      <c r="L20" s="5">
        <f t="shared" ca="1" si="10"/>
        <v>0.14661294496675781</v>
      </c>
      <c r="M20" s="5">
        <f t="shared" ca="1" si="11"/>
        <v>1</v>
      </c>
      <c r="N20" s="5">
        <f t="shared" ca="1" si="12"/>
        <v>97</v>
      </c>
      <c r="O20" s="5">
        <f t="shared" ca="1" si="3"/>
        <v>3</v>
      </c>
      <c r="P20" s="5">
        <f t="shared" ca="1" si="13"/>
        <v>0</v>
      </c>
    </row>
    <row r="21" spans="1:16" x14ac:dyDescent="0.25">
      <c r="A21" s="5">
        <v>276</v>
      </c>
      <c r="B21" s="5">
        <f t="shared" ca="1" si="0"/>
        <v>0.11294450683296531</v>
      </c>
      <c r="C21" s="5">
        <f t="shared" ca="1" si="4"/>
        <v>97</v>
      </c>
      <c r="D21" s="5">
        <f t="shared" ca="1" si="5"/>
        <v>0.23714629018040045</v>
      </c>
      <c r="E21" s="5">
        <f t="shared" ca="1" si="6"/>
        <v>1</v>
      </c>
      <c r="F21" s="5">
        <f t="shared" ca="1" si="7"/>
        <v>96</v>
      </c>
      <c r="G21" s="5">
        <f t="shared" ca="1" si="1"/>
        <v>4</v>
      </c>
      <c r="H21" s="5">
        <f t="shared" ca="1" si="8"/>
        <v>0</v>
      </c>
      <c r="I21" s="5">
        <v>319</v>
      </c>
      <c r="J21" s="5">
        <f t="shared" ca="1" si="2"/>
        <v>0.3557664594772767</v>
      </c>
      <c r="K21" s="5">
        <f t="shared" ca="1" si="9"/>
        <v>99</v>
      </c>
      <c r="L21" s="5">
        <f t="shared" ca="1" si="10"/>
        <v>0.23884105679446388</v>
      </c>
      <c r="M21" s="5">
        <f t="shared" ca="1" si="11"/>
        <v>1</v>
      </c>
      <c r="N21" s="5">
        <f t="shared" ca="1" si="12"/>
        <v>98</v>
      </c>
      <c r="O21" s="5">
        <f t="shared" ca="1" si="3"/>
        <v>2</v>
      </c>
      <c r="P21" s="5">
        <f t="shared" ca="1" si="13"/>
        <v>0</v>
      </c>
    </row>
    <row r="22" spans="1:16" x14ac:dyDescent="0.25">
      <c r="A22" s="5">
        <v>277</v>
      </c>
      <c r="B22" s="5">
        <f t="shared" ca="1" si="0"/>
        <v>7.256529438329451E-2</v>
      </c>
      <c r="C22" s="5">
        <f t="shared" ca="1" si="4"/>
        <v>97</v>
      </c>
      <c r="D22" s="5">
        <f t="shared" ca="1" si="5"/>
        <v>0.93208738284004988</v>
      </c>
      <c r="E22" s="5">
        <f t="shared" ca="1" si="6"/>
        <v>4</v>
      </c>
      <c r="F22" s="5">
        <f t="shared" ca="1" si="7"/>
        <v>93</v>
      </c>
      <c r="G22" s="5">
        <f t="shared" ca="1" si="1"/>
        <v>7</v>
      </c>
      <c r="H22" s="5">
        <f t="shared" ca="1" si="8"/>
        <v>0</v>
      </c>
      <c r="I22" s="5">
        <v>320</v>
      </c>
      <c r="J22" s="5">
        <f t="shared" ca="1" si="2"/>
        <v>0.32206013539517298</v>
      </c>
      <c r="K22" s="5">
        <f t="shared" ca="1" si="9"/>
        <v>99</v>
      </c>
      <c r="L22" s="5">
        <f t="shared" ca="1" si="10"/>
        <v>0.4392875707892544</v>
      </c>
      <c r="M22" s="5">
        <f t="shared" ca="1" si="11"/>
        <v>2</v>
      </c>
      <c r="N22" s="5">
        <f t="shared" ca="1" si="12"/>
        <v>97</v>
      </c>
      <c r="O22" s="5">
        <f t="shared" ca="1" si="3"/>
        <v>3</v>
      </c>
      <c r="P22" s="5">
        <f t="shared" ca="1" si="13"/>
        <v>0</v>
      </c>
    </row>
    <row r="23" spans="1:16" x14ac:dyDescent="0.25">
      <c r="A23" s="5">
        <v>278</v>
      </c>
      <c r="B23" s="5">
        <f t="shared" ca="1" si="0"/>
        <v>0.75765844149053851</v>
      </c>
      <c r="C23" s="5">
        <f t="shared" ca="1" si="4"/>
        <v>103</v>
      </c>
      <c r="D23" s="5">
        <f t="shared" ca="1" si="5"/>
        <v>0.65053419762699527</v>
      </c>
      <c r="E23" s="5">
        <f t="shared" ca="1" si="6"/>
        <v>3</v>
      </c>
      <c r="F23" s="5">
        <f t="shared" ca="1" si="7"/>
        <v>100</v>
      </c>
      <c r="G23" s="5">
        <f t="shared" ca="1" si="1"/>
        <v>0</v>
      </c>
      <c r="H23" s="5">
        <f t="shared" ca="1" si="8"/>
        <v>0</v>
      </c>
      <c r="I23" s="5">
        <v>321</v>
      </c>
      <c r="J23" s="5">
        <f t="shared" ca="1" si="2"/>
        <v>0.32190536271556358</v>
      </c>
      <c r="K23" s="5">
        <f t="shared" ca="1" si="9"/>
        <v>99</v>
      </c>
      <c r="L23" s="5">
        <f t="shared" ca="1" si="10"/>
        <v>9.2361908162230111E-2</v>
      </c>
      <c r="M23" s="5">
        <f t="shared" ca="1" si="11"/>
        <v>0</v>
      </c>
      <c r="N23" s="5">
        <f t="shared" ca="1" si="12"/>
        <v>99</v>
      </c>
      <c r="O23" s="5">
        <f t="shared" ca="1" si="3"/>
        <v>1</v>
      </c>
      <c r="P23" s="5">
        <f t="shared" ca="1" si="13"/>
        <v>0</v>
      </c>
    </row>
    <row r="24" spans="1:16" x14ac:dyDescent="0.25">
      <c r="A24" s="5">
        <v>279</v>
      </c>
      <c r="B24" s="5">
        <f t="shared" ca="1" si="0"/>
        <v>0.21436651135083473</v>
      </c>
      <c r="C24" s="5">
        <f t="shared" ca="1" si="4"/>
        <v>98</v>
      </c>
      <c r="D24" s="5">
        <f t="shared" ca="1" si="5"/>
        <v>0.66886154831073663</v>
      </c>
      <c r="E24" s="5">
        <f t="shared" ca="1" si="6"/>
        <v>3</v>
      </c>
      <c r="F24" s="5">
        <f t="shared" ca="1" si="7"/>
        <v>95</v>
      </c>
      <c r="G24" s="5">
        <f t="shared" ca="1" si="1"/>
        <v>5</v>
      </c>
      <c r="H24" s="5">
        <f t="shared" ca="1" si="8"/>
        <v>0</v>
      </c>
      <c r="I24" s="5">
        <v>322</v>
      </c>
      <c r="J24" s="5">
        <f t="shared" ca="1" si="2"/>
        <v>0.28274492264572848</v>
      </c>
      <c r="K24" s="5">
        <f t="shared" ca="1" si="9"/>
        <v>99</v>
      </c>
      <c r="L24" s="5">
        <f t="shared" ca="1" si="10"/>
        <v>0.70134573243196341</v>
      </c>
      <c r="M24" s="5">
        <f t="shared" ca="1" si="11"/>
        <v>3</v>
      </c>
      <c r="N24" s="5">
        <f t="shared" ca="1" si="12"/>
        <v>96</v>
      </c>
      <c r="O24" s="5">
        <f t="shared" ca="1" si="3"/>
        <v>4</v>
      </c>
      <c r="P24" s="5">
        <f t="shared" ca="1" si="13"/>
        <v>0</v>
      </c>
    </row>
    <row r="25" spans="1:16" x14ac:dyDescent="0.25">
      <c r="A25" s="5">
        <v>280</v>
      </c>
      <c r="B25" s="5">
        <f t="shared" ca="1" si="0"/>
        <v>0.30107410051182248</v>
      </c>
      <c r="C25" s="5">
        <f t="shared" ca="1" si="4"/>
        <v>99</v>
      </c>
      <c r="D25" s="5">
        <f t="shared" ca="1" si="5"/>
        <v>0.6701265855763312</v>
      </c>
      <c r="E25" s="5">
        <f t="shared" ca="1" si="6"/>
        <v>3</v>
      </c>
      <c r="F25" s="5">
        <f t="shared" ca="1" si="7"/>
        <v>96</v>
      </c>
      <c r="G25" s="5">
        <f t="shared" ca="1" si="1"/>
        <v>4</v>
      </c>
      <c r="H25" s="5">
        <f t="shared" ca="1" si="8"/>
        <v>0</v>
      </c>
      <c r="I25" s="5">
        <v>323</v>
      </c>
      <c r="J25" s="5">
        <f t="shared" ca="1" si="2"/>
        <v>0.67357986007032455</v>
      </c>
      <c r="K25" s="5">
        <f t="shared" ca="1" si="9"/>
        <v>102</v>
      </c>
      <c r="L25" s="5">
        <f t="shared" ca="1" si="10"/>
        <v>0.86550454162269319</v>
      </c>
      <c r="M25" s="5">
        <f t="shared" ca="1" si="11"/>
        <v>4</v>
      </c>
      <c r="N25" s="5">
        <f t="shared" ca="1" si="12"/>
        <v>98</v>
      </c>
      <c r="O25" s="5">
        <f t="shared" ca="1" si="3"/>
        <v>2</v>
      </c>
      <c r="P25" s="5">
        <f t="shared" ca="1" si="13"/>
        <v>0</v>
      </c>
    </row>
    <row r="26" spans="1:16" x14ac:dyDescent="0.25">
      <c r="A26" s="5">
        <v>281</v>
      </c>
      <c r="B26" s="5">
        <f t="shared" ca="1" si="0"/>
        <v>0.72975269005002597</v>
      </c>
      <c r="C26" s="5">
        <f t="shared" ca="1" si="4"/>
        <v>103</v>
      </c>
      <c r="D26" s="5">
        <f t="shared" ca="1" si="5"/>
        <v>0.75104443530864728</v>
      </c>
      <c r="E26" s="5">
        <f t="shared" ca="1" si="6"/>
        <v>3</v>
      </c>
      <c r="F26" s="5">
        <f t="shared" ca="1" si="7"/>
        <v>100</v>
      </c>
      <c r="G26" s="5">
        <f t="shared" ca="1" si="1"/>
        <v>0</v>
      </c>
      <c r="H26" s="5">
        <f t="shared" ca="1" si="8"/>
        <v>0</v>
      </c>
      <c r="I26" s="5">
        <v>324</v>
      </c>
      <c r="J26" s="5">
        <f t="shared" ca="1" si="2"/>
        <v>0.88535986723199056</v>
      </c>
      <c r="K26" s="5">
        <f t="shared" ca="1" si="9"/>
        <v>104</v>
      </c>
      <c r="L26" s="5">
        <f t="shared" ca="1" si="10"/>
        <v>0.65648651885300158</v>
      </c>
      <c r="M26" s="5">
        <f t="shared" ca="1" si="11"/>
        <v>3</v>
      </c>
      <c r="N26" s="5">
        <f t="shared" ca="1" si="12"/>
        <v>101</v>
      </c>
      <c r="O26" s="5">
        <f t="shared" ca="1" si="3"/>
        <v>-1</v>
      </c>
      <c r="P26" s="5">
        <f t="shared" ca="1" si="13"/>
        <v>1</v>
      </c>
    </row>
    <row r="27" spans="1:16" x14ac:dyDescent="0.25">
      <c r="A27" s="5">
        <v>282</v>
      </c>
      <c r="B27" s="5">
        <f t="shared" ca="1" si="0"/>
        <v>0.15093149533066719</v>
      </c>
      <c r="C27" s="5">
        <f t="shared" ca="1" si="4"/>
        <v>97</v>
      </c>
      <c r="D27" s="5">
        <f t="shared" ca="1" si="5"/>
        <v>0.2736583974160568</v>
      </c>
      <c r="E27" s="5">
        <f t="shared" ca="1" si="6"/>
        <v>1</v>
      </c>
      <c r="F27" s="5">
        <f t="shared" ca="1" si="7"/>
        <v>96</v>
      </c>
      <c r="G27" s="5">
        <f t="shared" ca="1" si="1"/>
        <v>4</v>
      </c>
      <c r="H27" s="5">
        <f t="shared" ca="1" si="8"/>
        <v>0</v>
      </c>
      <c r="I27" s="5">
        <v>325</v>
      </c>
      <c r="J27" s="5">
        <f t="shared" ca="1" si="2"/>
        <v>2.255229179800311E-2</v>
      </c>
      <c r="K27" s="5">
        <f t="shared" ca="1" si="9"/>
        <v>96</v>
      </c>
      <c r="L27" s="5">
        <f t="shared" ca="1" si="10"/>
        <v>0.21680204942875347</v>
      </c>
      <c r="M27" s="5">
        <f t="shared" ca="1" si="11"/>
        <v>1</v>
      </c>
      <c r="N27" s="5">
        <f t="shared" ca="1" si="12"/>
        <v>95</v>
      </c>
      <c r="O27" s="5">
        <f t="shared" ca="1" si="3"/>
        <v>5</v>
      </c>
      <c r="P27" s="5">
        <f t="shared" ca="1" si="13"/>
        <v>0</v>
      </c>
    </row>
    <row r="28" spans="1:16" x14ac:dyDescent="0.25">
      <c r="A28" s="5">
        <v>283</v>
      </c>
      <c r="B28" s="5">
        <f t="shared" ca="1" si="0"/>
        <v>0.49943617436432242</v>
      </c>
      <c r="C28" s="5">
        <f t="shared" ca="1" si="4"/>
        <v>100</v>
      </c>
      <c r="D28" s="5">
        <f t="shared" ca="1" si="5"/>
        <v>0.82314267542427444</v>
      </c>
      <c r="E28" s="5">
        <f t="shared" ca="1" si="6"/>
        <v>3</v>
      </c>
      <c r="F28" s="5">
        <f t="shared" ca="1" si="7"/>
        <v>97</v>
      </c>
      <c r="G28" s="5">
        <f t="shared" ca="1" si="1"/>
        <v>3</v>
      </c>
      <c r="H28" s="5">
        <f t="shared" ca="1" si="8"/>
        <v>0</v>
      </c>
      <c r="I28" s="5">
        <v>326</v>
      </c>
      <c r="J28" s="5">
        <f t="shared" ca="1" si="2"/>
        <v>0.77267166030920209</v>
      </c>
      <c r="K28" s="5">
        <f t="shared" ca="1" si="9"/>
        <v>103</v>
      </c>
      <c r="L28" s="5">
        <f t="shared" ca="1" si="10"/>
        <v>0.41478827214317449</v>
      </c>
      <c r="M28" s="5">
        <f t="shared" ca="1" si="11"/>
        <v>2</v>
      </c>
      <c r="N28" s="5">
        <f t="shared" ca="1" si="12"/>
        <v>101</v>
      </c>
      <c r="O28" s="5">
        <f t="shared" ca="1" si="3"/>
        <v>-1</v>
      </c>
      <c r="P28" s="5">
        <f t="shared" ca="1" si="13"/>
        <v>1</v>
      </c>
    </row>
    <row r="29" spans="1:16" x14ac:dyDescent="0.25">
      <c r="A29" s="5">
        <v>284</v>
      </c>
      <c r="B29" s="5">
        <f t="shared" ca="1" si="0"/>
        <v>0.21826803362909741</v>
      </c>
      <c r="C29" s="5">
        <f t="shared" ca="1" si="4"/>
        <v>98</v>
      </c>
      <c r="D29" s="5">
        <f t="shared" ca="1" si="5"/>
        <v>0.32346588964172174</v>
      </c>
      <c r="E29" s="5">
        <f t="shared" ca="1" si="6"/>
        <v>2</v>
      </c>
      <c r="F29" s="5">
        <f t="shared" ca="1" si="7"/>
        <v>96</v>
      </c>
      <c r="G29" s="5">
        <f t="shared" ca="1" si="1"/>
        <v>4</v>
      </c>
      <c r="H29" s="5">
        <f t="shared" ca="1" si="8"/>
        <v>0</v>
      </c>
      <c r="I29" s="5">
        <v>327</v>
      </c>
      <c r="J29" s="5">
        <f t="shared" ca="1" si="2"/>
        <v>0.3898654593761206</v>
      </c>
      <c r="K29" s="5">
        <f t="shared" ca="1" si="9"/>
        <v>100</v>
      </c>
      <c r="L29" s="5">
        <f t="shared" ca="1" si="10"/>
        <v>3.9630858645551825E-2</v>
      </c>
      <c r="M29" s="5">
        <f t="shared" ca="1" si="11"/>
        <v>0</v>
      </c>
      <c r="N29" s="5">
        <f t="shared" ca="1" si="12"/>
        <v>100</v>
      </c>
      <c r="O29" s="5">
        <f t="shared" ca="1" si="3"/>
        <v>0</v>
      </c>
      <c r="P29" s="5">
        <f t="shared" ca="1" si="13"/>
        <v>0</v>
      </c>
    </row>
    <row r="30" spans="1:16" x14ac:dyDescent="0.25">
      <c r="A30" s="5">
        <v>285</v>
      </c>
      <c r="B30" s="5">
        <f t="shared" ca="1" si="0"/>
        <v>0.909073770256697</v>
      </c>
      <c r="C30" s="5">
        <f t="shared" ca="1" si="4"/>
        <v>104</v>
      </c>
      <c r="D30" s="5">
        <f t="shared" ca="1" si="5"/>
        <v>0.7831198676181278</v>
      </c>
      <c r="E30" s="5">
        <f t="shared" ca="1" si="6"/>
        <v>3</v>
      </c>
      <c r="F30" s="5">
        <f t="shared" ca="1" si="7"/>
        <v>101</v>
      </c>
      <c r="G30" s="5">
        <f t="shared" ca="1" si="1"/>
        <v>-1</v>
      </c>
      <c r="H30" s="5">
        <f t="shared" ca="1" si="8"/>
        <v>1</v>
      </c>
      <c r="I30" s="5">
        <v>328</v>
      </c>
      <c r="J30" s="5">
        <f t="shared" ca="1" si="2"/>
        <v>0.8904773617755648</v>
      </c>
      <c r="K30" s="5">
        <f t="shared" ca="1" si="9"/>
        <v>104</v>
      </c>
      <c r="L30" s="5">
        <f t="shared" ca="1" si="10"/>
        <v>1.4567368540107428E-2</v>
      </c>
      <c r="M30" s="5">
        <f t="shared" ca="1" si="11"/>
        <v>0</v>
      </c>
      <c r="N30" s="5">
        <f t="shared" ca="1" si="12"/>
        <v>104</v>
      </c>
      <c r="O30" s="5">
        <f t="shared" ca="1" si="3"/>
        <v>-4</v>
      </c>
      <c r="P30" s="5">
        <f t="shared" ca="1" si="13"/>
        <v>1</v>
      </c>
    </row>
    <row r="31" spans="1:16" x14ac:dyDescent="0.25">
      <c r="A31" s="5">
        <v>286</v>
      </c>
      <c r="B31" s="5">
        <f t="shared" ca="1" si="0"/>
        <v>0.40129978939924993</v>
      </c>
      <c r="C31" s="5">
        <f t="shared" ca="1" si="4"/>
        <v>100</v>
      </c>
      <c r="D31" s="5">
        <f t="shared" ca="1" si="5"/>
        <v>0.15588465607154811</v>
      </c>
      <c r="E31" s="5">
        <f t="shared" ca="1" si="6"/>
        <v>1</v>
      </c>
      <c r="F31" s="5">
        <f t="shared" ca="1" si="7"/>
        <v>99</v>
      </c>
      <c r="G31" s="5">
        <f t="shared" ca="1" si="1"/>
        <v>1</v>
      </c>
      <c r="H31" s="5">
        <f t="shared" ca="1" si="8"/>
        <v>0</v>
      </c>
      <c r="I31" s="5">
        <v>329</v>
      </c>
      <c r="J31" s="5">
        <f t="shared" ca="1" si="2"/>
        <v>1.2746456465274281E-2</v>
      </c>
      <c r="K31" s="5">
        <f t="shared" ca="1" si="9"/>
        <v>96</v>
      </c>
      <c r="L31" s="5">
        <f t="shared" ca="1" si="10"/>
        <v>0.41416939232483729</v>
      </c>
      <c r="M31" s="5">
        <f t="shared" ca="1" si="11"/>
        <v>2</v>
      </c>
      <c r="N31" s="5">
        <f t="shared" ca="1" si="12"/>
        <v>94</v>
      </c>
      <c r="O31" s="5">
        <f t="shared" ca="1" si="3"/>
        <v>6</v>
      </c>
      <c r="P31" s="5">
        <f t="shared" ca="1" si="13"/>
        <v>0</v>
      </c>
    </row>
    <row r="32" spans="1:16" x14ac:dyDescent="0.25">
      <c r="A32" s="5">
        <v>287</v>
      </c>
      <c r="B32" s="5">
        <f t="shared" ca="1" si="0"/>
        <v>0.80799779240246961</v>
      </c>
      <c r="C32" s="5">
        <f t="shared" ca="1" si="4"/>
        <v>103</v>
      </c>
      <c r="D32" s="5">
        <f t="shared" ca="1" si="5"/>
        <v>0.98236244279124152</v>
      </c>
      <c r="E32" s="5">
        <f t="shared" ca="1" si="6"/>
        <v>5</v>
      </c>
      <c r="F32" s="5">
        <f t="shared" ca="1" si="7"/>
        <v>98</v>
      </c>
      <c r="G32" s="5">
        <f t="shared" ca="1" si="1"/>
        <v>2</v>
      </c>
      <c r="H32" s="5">
        <f t="shared" ca="1" si="8"/>
        <v>0</v>
      </c>
      <c r="I32" s="5">
        <v>330</v>
      </c>
      <c r="J32" s="5">
        <f t="shared" ca="1" si="2"/>
        <v>0.91220503111985374</v>
      </c>
      <c r="K32" s="5">
        <f t="shared" ca="1" si="9"/>
        <v>104</v>
      </c>
      <c r="L32" s="5">
        <f t="shared" ca="1" si="10"/>
        <v>0.19527112895295684</v>
      </c>
      <c r="M32" s="5">
        <f t="shared" ca="1" si="11"/>
        <v>1</v>
      </c>
      <c r="N32" s="5">
        <f t="shared" ca="1" si="12"/>
        <v>103</v>
      </c>
      <c r="O32" s="5">
        <f t="shared" ca="1" si="3"/>
        <v>-3</v>
      </c>
      <c r="P32" s="5">
        <f t="shared" ca="1" si="13"/>
        <v>1</v>
      </c>
    </row>
    <row r="33" spans="1:16" x14ac:dyDescent="0.25">
      <c r="A33" s="5">
        <v>288</v>
      </c>
      <c r="B33" s="5">
        <f t="shared" ca="1" si="0"/>
        <v>0.27431920180996927</v>
      </c>
      <c r="C33" s="5">
        <f t="shared" ca="1" si="4"/>
        <v>98</v>
      </c>
      <c r="D33" s="5">
        <f t="shared" ca="1" si="5"/>
        <v>0.17077744118737226</v>
      </c>
      <c r="E33" s="5">
        <f t="shared" ca="1" si="6"/>
        <v>1</v>
      </c>
      <c r="F33" s="5">
        <f t="shared" ca="1" si="7"/>
        <v>97</v>
      </c>
      <c r="G33" s="5">
        <f t="shared" ca="1" si="1"/>
        <v>3</v>
      </c>
      <c r="H33" s="5">
        <f t="shared" ca="1" si="8"/>
        <v>0</v>
      </c>
      <c r="I33" s="5">
        <v>331</v>
      </c>
      <c r="J33" s="5">
        <f t="shared" ca="1" si="2"/>
        <v>0.7833987366071179</v>
      </c>
      <c r="K33" s="5">
        <f t="shared" ca="1" si="9"/>
        <v>103</v>
      </c>
      <c r="L33" s="5">
        <f t="shared" ca="1" si="10"/>
        <v>9.4587585217068226E-2</v>
      </c>
      <c r="M33" s="5">
        <f t="shared" ca="1" si="11"/>
        <v>0</v>
      </c>
      <c r="N33" s="5">
        <f t="shared" ca="1" si="12"/>
        <v>103</v>
      </c>
      <c r="O33" s="5">
        <f t="shared" ca="1" si="3"/>
        <v>-3</v>
      </c>
      <c r="P33" s="5">
        <f t="shared" ca="1" si="13"/>
        <v>1</v>
      </c>
    </row>
    <row r="34" spans="1:16" x14ac:dyDescent="0.25">
      <c r="A34" s="5">
        <v>289</v>
      </c>
      <c r="B34" s="5">
        <f t="shared" ca="1" si="0"/>
        <v>0.75871465291915463</v>
      </c>
      <c r="C34" s="5">
        <f t="shared" ca="1" si="4"/>
        <v>103</v>
      </c>
      <c r="D34" s="5">
        <f t="shared" ca="1" si="5"/>
        <v>3.1845029910995137E-2</v>
      </c>
      <c r="E34" s="5">
        <f t="shared" ca="1" si="6"/>
        <v>0</v>
      </c>
      <c r="F34" s="5">
        <f t="shared" ca="1" si="7"/>
        <v>103</v>
      </c>
      <c r="G34" s="5">
        <f t="shared" ca="1" si="1"/>
        <v>-3</v>
      </c>
      <c r="H34" s="5">
        <f t="shared" ca="1" si="8"/>
        <v>1</v>
      </c>
      <c r="I34" s="5">
        <v>332</v>
      </c>
      <c r="J34" s="5">
        <f t="shared" ca="1" si="2"/>
        <v>0.26296486312820733</v>
      </c>
      <c r="K34" s="5">
        <f t="shared" ca="1" si="9"/>
        <v>98</v>
      </c>
      <c r="L34" s="5">
        <f t="shared" ca="1" si="10"/>
        <v>0.9010619151771353</v>
      </c>
      <c r="M34" s="5">
        <f t="shared" ca="1" si="11"/>
        <v>4</v>
      </c>
      <c r="N34" s="5">
        <f t="shared" ca="1" si="12"/>
        <v>94</v>
      </c>
      <c r="O34" s="5">
        <f t="shared" ca="1" si="3"/>
        <v>6</v>
      </c>
      <c r="P34" s="5">
        <f t="shared" ca="1" si="13"/>
        <v>0</v>
      </c>
    </row>
    <row r="35" spans="1:16" x14ac:dyDescent="0.25">
      <c r="A35" s="5">
        <v>290</v>
      </c>
      <c r="B35" s="5">
        <f t="shared" ca="1" si="0"/>
        <v>0.58814523517693273</v>
      </c>
      <c r="C35" s="5">
        <f t="shared" ca="1" si="4"/>
        <v>101</v>
      </c>
      <c r="D35" s="5">
        <f t="shared" ca="1" si="5"/>
        <v>0.88477020991511413</v>
      </c>
      <c r="E35" s="5">
        <f t="shared" ca="1" si="6"/>
        <v>4</v>
      </c>
      <c r="F35" s="5">
        <f t="shared" ca="1" si="7"/>
        <v>97</v>
      </c>
      <c r="G35" s="5">
        <f t="shared" ca="1" si="1"/>
        <v>3</v>
      </c>
      <c r="H35" s="5">
        <f t="shared" ca="1" si="8"/>
        <v>0</v>
      </c>
      <c r="I35" s="5">
        <v>333</v>
      </c>
      <c r="J35" s="5">
        <f t="shared" ca="1" si="2"/>
        <v>0.26095182823859386</v>
      </c>
      <c r="K35" s="5">
        <f t="shared" ca="1" si="9"/>
        <v>98</v>
      </c>
      <c r="L35" s="5">
        <f t="shared" ca="1" si="10"/>
        <v>0.22171042182273981</v>
      </c>
      <c r="M35" s="5">
        <f t="shared" ca="1" si="11"/>
        <v>1</v>
      </c>
      <c r="N35" s="5">
        <f t="shared" ca="1" si="12"/>
        <v>97</v>
      </c>
      <c r="O35" s="5">
        <f t="shared" ca="1" si="3"/>
        <v>3</v>
      </c>
      <c r="P35" s="5">
        <f t="shared" ca="1" si="13"/>
        <v>0</v>
      </c>
    </row>
    <row r="36" spans="1:16" x14ac:dyDescent="0.25">
      <c r="A36" s="5">
        <v>291</v>
      </c>
      <c r="B36" s="5">
        <f t="shared" ca="1" si="0"/>
        <v>0.79150487187525786</v>
      </c>
      <c r="C36" s="5">
        <f t="shared" ca="1" si="4"/>
        <v>103</v>
      </c>
      <c r="D36" s="5">
        <f t="shared" ca="1" si="5"/>
        <v>0.42795765795330154</v>
      </c>
      <c r="E36" s="5">
        <f t="shared" ca="1" si="6"/>
        <v>2</v>
      </c>
      <c r="F36" s="5">
        <f t="shared" ca="1" si="7"/>
        <v>101</v>
      </c>
      <c r="G36" s="5">
        <f t="shared" ca="1" si="1"/>
        <v>-1</v>
      </c>
      <c r="H36" s="5">
        <f t="shared" ca="1" si="8"/>
        <v>1</v>
      </c>
      <c r="I36" s="5">
        <v>334</v>
      </c>
      <c r="J36" s="5">
        <f t="shared" ca="1" si="2"/>
        <v>0.24182515734578069</v>
      </c>
      <c r="K36" s="5">
        <f t="shared" ca="1" si="9"/>
        <v>98</v>
      </c>
      <c r="L36" s="5">
        <f t="shared" ca="1" si="10"/>
        <v>0.13066417867807023</v>
      </c>
      <c r="M36" s="5">
        <f t="shared" ca="1" si="11"/>
        <v>1</v>
      </c>
      <c r="N36" s="5">
        <f t="shared" ca="1" si="12"/>
        <v>97</v>
      </c>
      <c r="O36" s="5">
        <f t="shared" ca="1" si="3"/>
        <v>3</v>
      </c>
      <c r="P36" s="5">
        <f t="shared" ca="1" si="13"/>
        <v>0</v>
      </c>
    </row>
    <row r="37" spans="1:16" x14ac:dyDescent="0.25">
      <c r="A37" s="5">
        <v>292</v>
      </c>
      <c r="B37" s="5">
        <f t="shared" ca="1" si="0"/>
        <v>0.47540825487093485</v>
      </c>
      <c r="C37" s="5">
        <f t="shared" ca="1" si="4"/>
        <v>100</v>
      </c>
      <c r="D37" s="5">
        <f t="shared" ca="1" si="5"/>
        <v>0.48641477621400042</v>
      </c>
      <c r="E37" s="5">
        <f t="shared" ca="1" si="6"/>
        <v>2</v>
      </c>
      <c r="F37" s="5">
        <f t="shared" ca="1" si="7"/>
        <v>98</v>
      </c>
      <c r="G37" s="5">
        <f t="shared" ca="1" si="1"/>
        <v>2</v>
      </c>
      <c r="H37" s="5">
        <f t="shared" ca="1" si="8"/>
        <v>0</v>
      </c>
      <c r="I37" s="5">
        <v>335</v>
      </c>
      <c r="J37" s="5">
        <f t="shared" ca="1" si="2"/>
        <v>0.96296196618588692</v>
      </c>
      <c r="K37" s="5">
        <f t="shared" ca="1" si="9"/>
        <v>105</v>
      </c>
      <c r="L37" s="5">
        <f t="shared" ca="1" si="10"/>
        <v>0.59200601130576203</v>
      </c>
      <c r="M37" s="5">
        <f t="shared" ca="1" si="11"/>
        <v>3</v>
      </c>
      <c r="N37" s="5">
        <f t="shared" ca="1" si="12"/>
        <v>102</v>
      </c>
      <c r="O37" s="5">
        <f t="shared" ca="1" si="3"/>
        <v>-2</v>
      </c>
      <c r="P37" s="5">
        <f t="shared" ca="1" si="13"/>
        <v>1</v>
      </c>
    </row>
    <row r="38" spans="1:16" x14ac:dyDescent="0.25">
      <c r="A38" s="5">
        <v>293</v>
      </c>
      <c r="B38" s="5">
        <f t="shared" ca="1" si="0"/>
        <v>0.11839830300713927</v>
      </c>
      <c r="C38" s="5">
        <f t="shared" ca="1" si="4"/>
        <v>97</v>
      </c>
      <c r="D38" s="5">
        <f t="shared" ca="1" si="5"/>
        <v>0.79837896207731407</v>
      </c>
      <c r="E38" s="5">
        <f t="shared" ca="1" si="6"/>
        <v>3</v>
      </c>
      <c r="F38" s="5">
        <f t="shared" ca="1" si="7"/>
        <v>94</v>
      </c>
      <c r="G38" s="5">
        <f t="shared" ca="1" si="1"/>
        <v>6</v>
      </c>
      <c r="H38" s="5">
        <f t="shared" ca="1" si="8"/>
        <v>0</v>
      </c>
      <c r="I38" s="5">
        <v>336</v>
      </c>
      <c r="J38" s="5">
        <f t="shared" ca="1" si="2"/>
        <v>0.5515678333409314</v>
      </c>
      <c r="K38" s="5">
        <f t="shared" ca="1" si="9"/>
        <v>101</v>
      </c>
      <c r="L38" s="5">
        <f t="shared" ca="1" si="10"/>
        <v>0.22241068383889562</v>
      </c>
      <c r="M38" s="5">
        <f t="shared" ca="1" si="11"/>
        <v>1</v>
      </c>
      <c r="N38" s="5">
        <f t="shared" ca="1" si="12"/>
        <v>100</v>
      </c>
      <c r="O38" s="5">
        <f t="shared" ca="1" si="3"/>
        <v>0</v>
      </c>
      <c r="P38" s="5">
        <f t="shared" ca="1" si="13"/>
        <v>0</v>
      </c>
    </row>
    <row r="39" spans="1:16" x14ac:dyDescent="0.25">
      <c r="A39" s="5">
        <v>294</v>
      </c>
      <c r="B39" s="5">
        <f t="shared" ca="1" si="0"/>
        <v>0.24738186390717565</v>
      </c>
      <c r="C39" s="5">
        <f t="shared" ca="1" si="4"/>
        <v>98</v>
      </c>
      <c r="D39" s="5">
        <f t="shared" ca="1" si="5"/>
        <v>0.51591684623595524</v>
      </c>
      <c r="E39" s="5">
        <f t="shared" ca="1" si="6"/>
        <v>2</v>
      </c>
      <c r="F39" s="5">
        <f t="shared" ca="1" si="7"/>
        <v>96</v>
      </c>
      <c r="G39" s="5">
        <f t="shared" ca="1" si="1"/>
        <v>4</v>
      </c>
      <c r="H39" s="5">
        <f t="shared" ca="1" si="8"/>
        <v>0</v>
      </c>
      <c r="I39" s="5">
        <v>337</v>
      </c>
      <c r="J39" s="5">
        <f t="shared" ca="1" si="2"/>
        <v>0.7127696086640446</v>
      </c>
      <c r="K39" s="5">
        <f t="shared" ca="1" si="9"/>
        <v>102</v>
      </c>
      <c r="L39" s="5">
        <f t="shared" ca="1" si="10"/>
        <v>0.82838397605191172</v>
      </c>
      <c r="M39" s="5">
        <f t="shared" ca="1" si="11"/>
        <v>3</v>
      </c>
      <c r="N39" s="5">
        <f t="shared" ca="1" si="12"/>
        <v>99</v>
      </c>
      <c r="O39" s="5">
        <f t="shared" ca="1" si="3"/>
        <v>1</v>
      </c>
      <c r="P39" s="5">
        <f t="shared" ca="1" si="13"/>
        <v>0</v>
      </c>
    </row>
    <row r="40" spans="1:16" x14ac:dyDescent="0.25">
      <c r="A40" s="5">
        <v>295</v>
      </c>
      <c r="B40" s="5">
        <f t="shared" ca="1" si="0"/>
        <v>1.7395280244387967E-2</v>
      </c>
      <c r="C40" s="5">
        <f t="shared" ca="1" si="4"/>
        <v>96</v>
      </c>
      <c r="D40" s="5">
        <f t="shared" ca="1" si="5"/>
        <v>0.57068650176549351</v>
      </c>
      <c r="E40" s="5">
        <f t="shared" ca="1" si="6"/>
        <v>3</v>
      </c>
      <c r="F40" s="5">
        <f t="shared" ca="1" si="7"/>
        <v>93</v>
      </c>
      <c r="G40" s="5">
        <f t="shared" ca="1" si="1"/>
        <v>7</v>
      </c>
      <c r="H40" s="5">
        <f t="shared" ca="1" si="8"/>
        <v>0</v>
      </c>
      <c r="I40" s="5">
        <v>338</v>
      </c>
      <c r="J40" s="5">
        <f t="shared" ca="1" si="2"/>
        <v>0.84682725780626833</v>
      </c>
      <c r="K40" s="5">
        <f t="shared" ca="1" si="9"/>
        <v>104</v>
      </c>
      <c r="L40" s="5">
        <f t="shared" ca="1" si="10"/>
        <v>0.52812421912584562</v>
      </c>
      <c r="M40" s="5">
        <f t="shared" ca="1" si="11"/>
        <v>2</v>
      </c>
      <c r="N40" s="5">
        <f t="shared" ca="1" si="12"/>
        <v>102</v>
      </c>
      <c r="O40" s="5">
        <f t="shared" ca="1" si="3"/>
        <v>-2</v>
      </c>
      <c r="P40" s="5">
        <f t="shared" ca="1" si="13"/>
        <v>1</v>
      </c>
    </row>
    <row r="41" spans="1:16" x14ac:dyDescent="0.25">
      <c r="A41" s="5">
        <v>296</v>
      </c>
      <c r="B41" s="5">
        <f t="shared" ca="1" si="0"/>
        <v>0.44001912240332375</v>
      </c>
      <c r="C41" s="5">
        <f t="shared" ca="1" si="4"/>
        <v>100</v>
      </c>
      <c r="D41" s="5">
        <f t="shared" ca="1" si="5"/>
        <v>3.8339474110971605E-2</v>
      </c>
      <c r="E41" s="5">
        <f t="shared" ca="1" si="6"/>
        <v>0</v>
      </c>
      <c r="F41" s="5">
        <f t="shared" ca="1" si="7"/>
        <v>100</v>
      </c>
      <c r="G41" s="5">
        <f t="shared" ca="1" si="1"/>
        <v>0</v>
      </c>
      <c r="H41" s="5">
        <f t="shared" ca="1" si="8"/>
        <v>0</v>
      </c>
      <c r="I41" s="5">
        <v>339</v>
      </c>
      <c r="J41" s="5">
        <f t="shared" ca="1" si="2"/>
        <v>0.10018793474743892</v>
      </c>
      <c r="K41" s="5">
        <f t="shared" ca="1" si="9"/>
        <v>97</v>
      </c>
      <c r="L41" s="5">
        <f t="shared" ca="1" si="10"/>
        <v>0.99995026799603959</v>
      </c>
      <c r="M41" s="5">
        <f t="shared" ca="1" si="11"/>
        <v>5</v>
      </c>
      <c r="N41" s="5">
        <f t="shared" ca="1" si="12"/>
        <v>92</v>
      </c>
      <c r="O41" s="5">
        <f t="shared" ca="1" si="3"/>
        <v>8</v>
      </c>
      <c r="P41" s="5">
        <f t="shared" ca="1" si="13"/>
        <v>0</v>
      </c>
    </row>
    <row r="42" spans="1:16" x14ac:dyDescent="0.25">
      <c r="A42" s="5">
        <v>297</v>
      </c>
      <c r="B42" s="5">
        <f t="shared" ca="1" si="0"/>
        <v>0.21426309308513747</v>
      </c>
      <c r="C42" s="5">
        <f t="shared" ca="1" si="4"/>
        <v>98</v>
      </c>
      <c r="D42" s="5">
        <f t="shared" ca="1" si="5"/>
        <v>0.18182458874471441</v>
      </c>
      <c r="E42" s="5">
        <f t="shared" ca="1" si="6"/>
        <v>1</v>
      </c>
      <c r="F42" s="5">
        <f t="shared" ca="1" si="7"/>
        <v>97</v>
      </c>
      <c r="G42" s="5">
        <f t="shared" ca="1" si="1"/>
        <v>3</v>
      </c>
      <c r="H42" s="5">
        <f t="shared" ca="1" si="8"/>
        <v>0</v>
      </c>
      <c r="I42" s="5">
        <v>340</v>
      </c>
      <c r="J42" s="5">
        <f t="shared" ca="1" si="2"/>
        <v>0.48698579530938957</v>
      </c>
      <c r="K42" s="5">
        <f t="shared" ca="1" si="9"/>
        <v>100</v>
      </c>
      <c r="L42" s="5">
        <f t="shared" ca="1" si="10"/>
        <v>0.75678980585341737</v>
      </c>
      <c r="M42" s="5">
        <f t="shared" ca="1" si="11"/>
        <v>3</v>
      </c>
      <c r="N42" s="5">
        <f t="shared" ca="1" si="12"/>
        <v>97</v>
      </c>
      <c r="O42" s="5">
        <f t="shared" ca="1" si="3"/>
        <v>3</v>
      </c>
      <c r="P42" s="5">
        <f t="shared" ca="1" si="13"/>
        <v>0</v>
      </c>
    </row>
    <row r="43" spans="1:16" x14ac:dyDescent="0.25">
      <c r="A43" s="5">
        <v>298</v>
      </c>
      <c r="B43" s="5">
        <f t="shared" ca="1" si="0"/>
        <v>0.50405154881881975</v>
      </c>
      <c r="C43" s="5">
        <f t="shared" ca="1" si="4"/>
        <v>101</v>
      </c>
      <c r="D43" s="5">
        <f t="shared" ca="1" si="5"/>
        <v>0.55973788480228592</v>
      </c>
      <c r="E43" s="5">
        <f t="shared" ca="1" si="6"/>
        <v>3</v>
      </c>
      <c r="F43" s="5">
        <f t="shared" ca="1" si="7"/>
        <v>98</v>
      </c>
      <c r="G43" s="5">
        <f t="shared" ca="1" si="1"/>
        <v>2</v>
      </c>
      <c r="H43" s="5">
        <f t="shared" ca="1" si="8"/>
        <v>0</v>
      </c>
      <c r="I43" s="5">
        <v>341</v>
      </c>
      <c r="J43" s="5">
        <f t="shared" ca="1" si="2"/>
        <v>1.4583914088778571E-2</v>
      </c>
      <c r="K43" s="5">
        <f t="shared" ca="1" si="9"/>
        <v>96</v>
      </c>
      <c r="L43" s="5">
        <f t="shared" ca="1" si="10"/>
        <v>0.49029559985343762</v>
      </c>
      <c r="M43" s="5">
        <f t="shared" ca="1" si="11"/>
        <v>2</v>
      </c>
      <c r="N43" s="5">
        <f t="shared" ca="1" si="12"/>
        <v>94</v>
      </c>
      <c r="O43" s="5">
        <f t="shared" ca="1" si="3"/>
        <v>6</v>
      </c>
      <c r="P43" s="5">
        <f t="shared" ca="1" si="13"/>
        <v>0</v>
      </c>
    </row>
    <row r="44" spans="1:16" x14ac:dyDescent="0.25">
      <c r="A44" s="5">
        <v>299</v>
      </c>
      <c r="B44" s="5">
        <f t="shared" ca="1" si="0"/>
        <v>0.91672650415803458</v>
      </c>
      <c r="C44" s="5">
        <f t="shared" ca="1" si="4"/>
        <v>104</v>
      </c>
      <c r="D44" s="5">
        <f t="shared" ca="1" si="5"/>
        <v>0.64308149938041714</v>
      </c>
      <c r="E44" s="5">
        <f t="shared" ca="1" si="6"/>
        <v>3</v>
      </c>
      <c r="F44" s="5">
        <f t="shared" ca="1" si="7"/>
        <v>101</v>
      </c>
      <c r="G44" s="5">
        <f t="shared" ca="1" si="1"/>
        <v>-1</v>
      </c>
      <c r="H44" s="5">
        <f t="shared" ca="1" si="8"/>
        <v>1</v>
      </c>
      <c r="I44" s="5">
        <v>342</v>
      </c>
      <c r="J44" s="5">
        <f t="shared" ca="1" si="2"/>
        <v>2.8283570484939791E-2</v>
      </c>
      <c r="K44" s="5">
        <f t="shared" ca="1" si="9"/>
        <v>96</v>
      </c>
      <c r="L44" s="5">
        <f t="shared" ca="1" si="10"/>
        <v>4.0033254700766463E-4</v>
      </c>
      <c r="M44" s="5">
        <f t="shared" ca="1" si="11"/>
        <v>0</v>
      </c>
      <c r="N44" s="5">
        <f t="shared" ca="1" si="12"/>
        <v>96</v>
      </c>
      <c r="O44" s="5">
        <f t="shared" ca="1" si="3"/>
        <v>4</v>
      </c>
      <c r="P44" s="5">
        <f t="shared" ca="1" si="13"/>
        <v>0</v>
      </c>
    </row>
    <row r="45" spans="1:16" x14ac:dyDescent="0.25">
      <c r="A45" s="5">
        <v>300</v>
      </c>
      <c r="B45" s="5">
        <f t="shared" ca="1" si="0"/>
        <v>0.99255920182962454</v>
      </c>
      <c r="C45" s="5">
        <f t="shared" ca="1" si="4"/>
        <v>105</v>
      </c>
      <c r="D45" s="5">
        <f t="shared" ca="1" si="5"/>
        <v>0.88803627298406584</v>
      </c>
      <c r="E45" s="5">
        <f t="shared" ca="1" si="6"/>
        <v>4</v>
      </c>
      <c r="F45" s="5">
        <f t="shared" ca="1" si="7"/>
        <v>101</v>
      </c>
      <c r="G45" s="5">
        <f t="shared" ca="1" si="1"/>
        <v>-1</v>
      </c>
      <c r="H45" s="5">
        <f t="shared" ca="1" si="8"/>
        <v>1</v>
      </c>
      <c r="I45" s="5">
        <v>343</v>
      </c>
      <c r="J45" s="5">
        <f t="shared" ca="1" si="2"/>
        <v>0.48447389194041302</v>
      </c>
      <c r="K45" s="5">
        <f t="shared" ca="1" si="9"/>
        <v>100</v>
      </c>
      <c r="L45" s="5">
        <f t="shared" ca="1" si="10"/>
        <v>0.30031984010561841</v>
      </c>
      <c r="M45" s="5">
        <f t="shared" ca="1" si="11"/>
        <v>2</v>
      </c>
      <c r="N45" s="5">
        <f t="shared" ca="1" si="12"/>
        <v>98</v>
      </c>
      <c r="O45" s="5">
        <f t="shared" ca="1" si="3"/>
        <v>2</v>
      </c>
      <c r="P45" s="5">
        <f t="shared" ca="1" si="13"/>
        <v>0</v>
      </c>
    </row>
    <row r="46" spans="1:16" x14ac:dyDescent="0.25">
      <c r="A46" s="5">
        <v>301</v>
      </c>
      <c r="B46" s="5">
        <f t="shared" ca="1" si="0"/>
        <v>0.84375434483987444</v>
      </c>
      <c r="C46" s="5">
        <f t="shared" ca="1" si="4"/>
        <v>104</v>
      </c>
      <c r="D46" s="5">
        <f t="shared" ca="1" si="5"/>
        <v>0.65391415845986645</v>
      </c>
      <c r="E46" s="5">
        <f t="shared" ca="1" si="6"/>
        <v>3</v>
      </c>
      <c r="F46" s="5">
        <f t="shared" ca="1" si="7"/>
        <v>101</v>
      </c>
      <c r="G46" s="5">
        <f t="shared" ca="1" si="1"/>
        <v>-1</v>
      </c>
      <c r="H46" s="5">
        <f t="shared" ca="1" si="8"/>
        <v>1</v>
      </c>
      <c r="I46" s="5">
        <v>344</v>
      </c>
      <c r="J46" s="5">
        <f t="shared" ca="1" si="2"/>
        <v>0.74765093027677554</v>
      </c>
      <c r="K46" s="5">
        <f ca="1">RESERVACIONES(J46)</f>
        <v>103</v>
      </c>
      <c r="L46" s="5">
        <f t="shared" ca="1" si="10"/>
        <v>0.73615987266143912</v>
      </c>
      <c r="M46" s="5">
        <f t="shared" ca="1" si="11"/>
        <v>3</v>
      </c>
      <c r="N46" s="5">
        <f t="shared" ca="1" si="12"/>
        <v>100</v>
      </c>
      <c r="O46" s="5">
        <f t="shared" ca="1" si="3"/>
        <v>0</v>
      </c>
      <c r="P46" s="5">
        <f t="shared" ca="1" si="13"/>
        <v>0</v>
      </c>
    </row>
    <row r="47" spans="1:16" x14ac:dyDescent="0.25">
      <c r="F47" s="10" t="s">
        <v>40</v>
      </c>
      <c r="G47" s="11"/>
      <c r="H47" s="12">
        <f ca="1">SUM(H4:H46)</f>
        <v>10</v>
      </c>
      <c r="N47" s="10" t="s">
        <v>40</v>
      </c>
      <c r="O47" s="11"/>
      <c r="P47" s="12">
        <f ca="1">SUM(P4:P46)</f>
        <v>12</v>
      </c>
    </row>
  </sheetData>
  <mergeCells count="6">
    <mergeCell ref="A1:H1"/>
    <mergeCell ref="I1:P1"/>
    <mergeCell ref="B2:C2"/>
    <mergeCell ref="D2:E2"/>
    <mergeCell ref="J2:K2"/>
    <mergeCell ref="L2:M2"/>
  </mergeCells>
  <printOptions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36"/>
  <sheetViews>
    <sheetView tabSelected="1" topLeftCell="A13" workbookViewId="0">
      <selection activeCell="I22" sqref="I22"/>
    </sheetView>
  </sheetViews>
  <sheetFormatPr baseColWidth="10" defaultRowHeight="15" x14ac:dyDescent="0.25"/>
  <cols>
    <col min="1" max="1" width="4" bestFit="1" customWidth="1"/>
    <col min="2" max="2" width="10.42578125" bestFit="1" customWidth="1"/>
    <col min="3" max="3" width="8.85546875" bestFit="1" customWidth="1"/>
    <col min="4" max="4" width="14.42578125" customWidth="1"/>
    <col min="5" max="5" width="8.7109375" bestFit="1" customWidth="1"/>
    <col min="6" max="6" width="15.28515625" customWidth="1"/>
    <col min="7" max="7" width="13.5703125" customWidth="1"/>
    <col min="8" max="8" width="14.42578125" customWidth="1"/>
    <col min="9" max="9" width="4" bestFit="1" customWidth="1"/>
    <col min="10" max="10" width="10.42578125" bestFit="1" customWidth="1"/>
    <col min="11" max="11" width="8.85546875" bestFit="1" customWidth="1"/>
    <col min="12" max="12" width="14.42578125" customWidth="1"/>
    <col min="13" max="13" width="8.7109375" bestFit="1" customWidth="1"/>
    <col min="14" max="14" width="15.28515625" customWidth="1"/>
    <col min="15" max="15" width="13.5703125" customWidth="1"/>
    <col min="16" max="16" width="14.42578125" customWidth="1"/>
  </cols>
  <sheetData>
    <row r="1" spans="1:8" x14ac:dyDescent="0.25">
      <c r="A1" s="30" t="s">
        <v>41</v>
      </c>
      <c r="B1" s="30"/>
      <c r="C1" s="30"/>
      <c r="D1" s="30"/>
      <c r="E1" s="30"/>
      <c r="F1" s="30"/>
      <c r="G1" s="30"/>
      <c r="H1" s="30"/>
    </row>
    <row r="2" spans="1:8" ht="15" customHeight="1" x14ac:dyDescent="0.25">
      <c r="A2" s="5" t="s">
        <v>20</v>
      </c>
      <c r="B2" s="28" t="s">
        <v>23</v>
      </c>
      <c r="C2" s="28"/>
      <c r="D2" s="29" t="s">
        <v>24</v>
      </c>
      <c r="E2" s="29"/>
      <c r="F2" s="13" t="s">
        <v>37</v>
      </c>
      <c r="G2" s="13" t="s">
        <v>38</v>
      </c>
      <c r="H2" s="13" t="s">
        <v>39</v>
      </c>
    </row>
    <row r="3" spans="1:8" x14ac:dyDescent="0.25">
      <c r="A3" s="5"/>
      <c r="B3" s="5" t="s">
        <v>21</v>
      </c>
      <c r="C3" s="5" t="s">
        <v>22</v>
      </c>
      <c r="D3" s="5" t="s">
        <v>21</v>
      </c>
      <c r="E3" s="5" t="s">
        <v>22</v>
      </c>
      <c r="F3" s="5"/>
      <c r="G3" s="5"/>
      <c r="H3" s="5"/>
    </row>
    <row r="4" spans="1:8" x14ac:dyDescent="0.25">
      <c r="A4" s="5">
        <v>345</v>
      </c>
      <c r="B4" s="5">
        <f t="shared" ref="B4:B24" ca="1" si="0">RAND()</f>
        <v>0.96587602275570172</v>
      </c>
      <c r="C4" s="5">
        <f ca="1">RESERVACIONES(B4)</f>
        <v>105</v>
      </c>
      <c r="D4" s="5">
        <f ca="1">RAND()</f>
        <v>0.77698683482641384</v>
      </c>
      <c r="E4" s="5">
        <f ca="1">SNASISTENCIA(D4)</f>
        <v>3</v>
      </c>
      <c r="F4" s="5">
        <f ca="1">C4-E4</f>
        <v>102</v>
      </c>
      <c r="G4" s="5">
        <f t="shared" ref="G4:G24" ca="1" si="1">100-F4</f>
        <v>-2</v>
      </c>
      <c r="H4" s="5">
        <f ca="1">RECLAMACIONES(G4)</f>
        <v>1</v>
      </c>
    </row>
    <row r="5" spans="1:8" x14ac:dyDescent="0.25">
      <c r="A5" s="5">
        <v>346</v>
      </c>
      <c r="B5" s="5">
        <f t="shared" ca="1" si="0"/>
        <v>1.7814485295631566E-2</v>
      </c>
      <c r="C5" s="5">
        <f t="shared" ref="C5:C24" ca="1" si="2">RESERVACIONES(B5)</f>
        <v>96</v>
      </c>
      <c r="D5" s="5">
        <f t="shared" ref="D5:D24" ca="1" si="3">RAND()</f>
        <v>0.67621228603144079</v>
      </c>
      <c r="E5" s="5">
        <f t="shared" ref="E5:E24" ca="1" si="4">SNASISTENCIA(D5)</f>
        <v>3</v>
      </c>
      <c r="F5" s="5">
        <f t="shared" ref="F5:F24" ca="1" si="5">C5-E5</f>
        <v>93</v>
      </c>
      <c r="G5" s="5">
        <f t="shared" ca="1" si="1"/>
        <v>7</v>
      </c>
      <c r="H5" s="5">
        <f t="shared" ref="H5:H24" ca="1" si="6">RECLAMACIONES(G5)</f>
        <v>0</v>
      </c>
    </row>
    <row r="6" spans="1:8" x14ac:dyDescent="0.25">
      <c r="A6" s="5">
        <v>347</v>
      </c>
      <c r="B6" s="5">
        <f t="shared" ca="1" si="0"/>
        <v>0.77640244513079337</v>
      </c>
      <c r="C6" s="5">
        <f t="shared" ca="1" si="2"/>
        <v>103</v>
      </c>
      <c r="D6" s="5">
        <f t="shared" ca="1" si="3"/>
        <v>0.27743992170440945</v>
      </c>
      <c r="E6" s="5">
        <f t="shared" ca="1" si="4"/>
        <v>1</v>
      </c>
      <c r="F6" s="5">
        <f t="shared" ca="1" si="5"/>
        <v>102</v>
      </c>
      <c r="G6" s="5">
        <f t="shared" ca="1" si="1"/>
        <v>-2</v>
      </c>
      <c r="H6" s="5">
        <f t="shared" ca="1" si="6"/>
        <v>1</v>
      </c>
    </row>
    <row r="7" spans="1:8" x14ac:dyDescent="0.25">
      <c r="A7" s="5">
        <v>348</v>
      </c>
      <c r="B7" s="5">
        <f t="shared" ca="1" si="0"/>
        <v>0.7368250024294476</v>
      </c>
      <c r="C7" s="5">
        <f t="shared" ca="1" si="2"/>
        <v>103</v>
      </c>
      <c r="D7" s="5">
        <f t="shared" ca="1" si="3"/>
        <v>0.60584305318894072</v>
      </c>
      <c r="E7" s="5">
        <f t="shared" ca="1" si="4"/>
        <v>3</v>
      </c>
      <c r="F7" s="5">
        <f t="shared" ca="1" si="5"/>
        <v>100</v>
      </c>
      <c r="G7" s="5">
        <f t="shared" ca="1" si="1"/>
        <v>0</v>
      </c>
      <c r="H7" s="5">
        <f t="shared" ca="1" si="6"/>
        <v>0</v>
      </c>
    </row>
    <row r="8" spans="1:8" x14ac:dyDescent="0.25">
      <c r="A8" s="5">
        <v>349</v>
      </c>
      <c r="B8" s="5">
        <f t="shared" ca="1" si="0"/>
        <v>0.84226538626582159</v>
      </c>
      <c r="C8" s="5">
        <f t="shared" ca="1" si="2"/>
        <v>104</v>
      </c>
      <c r="D8" s="5">
        <f t="shared" ca="1" si="3"/>
        <v>0.20749916119145517</v>
      </c>
      <c r="E8" s="5">
        <f t="shared" ca="1" si="4"/>
        <v>1</v>
      </c>
      <c r="F8" s="5">
        <f t="shared" ca="1" si="5"/>
        <v>103</v>
      </c>
      <c r="G8" s="5">
        <f t="shared" ca="1" si="1"/>
        <v>-3</v>
      </c>
      <c r="H8" s="5">
        <f t="shared" ca="1" si="6"/>
        <v>1</v>
      </c>
    </row>
    <row r="9" spans="1:8" x14ac:dyDescent="0.25">
      <c r="A9" s="5">
        <v>350</v>
      </c>
      <c r="B9" s="5">
        <f t="shared" ca="1" si="0"/>
        <v>0.46893612908494908</v>
      </c>
      <c r="C9" s="5">
        <f t="shared" ca="1" si="2"/>
        <v>100</v>
      </c>
      <c r="D9" s="5">
        <f t="shared" ca="1" si="3"/>
        <v>0.34388374163786628</v>
      </c>
      <c r="E9" s="5">
        <f t="shared" ca="1" si="4"/>
        <v>2</v>
      </c>
      <c r="F9" s="5">
        <f t="shared" ca="1" si="5"/>
        <v>98</v>
      </c>
      <c r="G9" s="5">
        <f t="shared" ca="1" si="1"/>
        <v>2</v>
      </c>
      <c r="H9" s="5">
        <f t="shared" ca="1" si="6"/>
        <v>0</v>
      </c>
    </row>
    <row r="10" spans="1:8" x14ac:dyDescent="0.25">
      <c r="A10" s="5">
        <v>351</v>
      </c>
      <c r="B10" s="5">
        <f t="shared" ca="1" si="0"/>
        <v>0.7842042573908351</v>
      </c>
      <c r="C10" s="5">
        <f t="shared" ca="1" si="2"/>
        <v>103</v>
      </c>
      <c r="D10" s="5">
        <f t="shared" ca="1" si="3"/>
        <v>8.9795873601417164E-2</v>
      </c>
      <c r="E10" s="5">
        <f t="shared" ca="1" si="4"/>
        <v>0</v>
      </c>
      <c r="F10" s="5">
        <f t="shared" ca="1" si="5"/>
        <v>103</v>
      </c>
      <c r="G10" s="5">
        <f t="shared" ca="1" si="1"/>
        <v>-3</v>
      </c>
      <c r="H10" s="5">
        <f t="shared" ca="1" si="6"/>
        <v>1</v>
      </c>
    </row>
    <row r="11" spans="1:8" x14ac:dyDescent="0.25">
      <c r="A11" s="5">
        <v>352</v>
      </c>
      <c r="B11" s="5">
        <f t="shared" ca="1" si="0"/>
        <v>0.66389819652783089</v>
      </c>
      <c r="C11" s="5">
        <f t="shared" ca="1" si="2"/>
        <v>102</v>
      </c>
      <c r="D11" s="5">
        <f t="shared" ca="1" si="3"/>
        <v>0.36598810973911211</v>
      </c>
      <c r="E11" s="5">
        <f t="shared" ca="1" si="4"/>
        <v>2</v>
      </c>
      <c r="F11" s="5">
        <f t="shared" ca="1" si="5"/>
        <v>100</v>
      </c>
      <c r="G11" s="5">
        <f t="shared" ca="1" si="1"/>
        <v>0</v>
      </c>
      <c r="H11" s="5">
        <f t="shared" ca="1" si="6"/>
        <v>0</v>
      </c>
    </row>
    <row r="12" spans="1:8" x14ac:dyDescent="0.25">
      <c r="A12" s="5">
        <v>353</v>
      </c>
      <c r="B12" s="5">
        <f t="shared" ca="1" si="0"/>
        <v>0.37369835599292267</v>
      </c>
      <c r="C12" s="5">
        <f t="shared" ca="1" si="2"/>
        <v>99</v>
      </c>
      <c r="D12" s="5">
        <f t="shared" ca="1" si="3"/>
        <v>1.7875016654809617E-2</v>
      </c>
      <c r="E12" s="5">
        <f t="shared" ca="1" si="4"/>
        <v>0</v>
      </c>
      <c r="F12" s="5">
        <f t="shared" ca="1" si="5"/>
        <v>99</v>
      </c>
      <c r="G12" s="5">
        <f t="shared" ca="1" si="1"/>
        <v>1</v>
      </c>
      <c r="H12" s="5">
        <f t="shared" ca="1" si="6"/>
        <v>0</v>
      </c>
    </row>
    <row r="13" spans="1:8" x14ac:dyDescent="0.25">
      <c r="A13" s="5">
        <v>354</v>
      </c>
      <c r="B13" s="5">
        <f t="shared" ca="1" si="0"/>
        <v>0.39443352659548947</v>
      </c>
      <c r="C13" s="5">
        <f t="shared" ca="1" si="2"/>
        <v>100</v>
      </c>
      <c r="D13" s="5">
        <f t="shared" ca="1" si="3"/>
        <v>0.58777878957271545</v>
      </c>
      <c r="E13" s="5">
        <f t="shared" ca="1" si="4"/>
        <v>3</v>
      </c>
      <c r="F13" s="5">
        <f t="shared" ca="1" si="5"/>
        <v>97</v>
      </c>
      <c r="G13" s="5">
        <f t="shared" ca="1" si="1"/>
        <v>3</v>
      </c>
      <c r="H13" s="5">
        <f t="shared" ca="1" si="6"/>
        <v>0</v>
      </c>
    </row>
    <row r="14" spans="1:8" x14ac:dyDescent="0.25">
      <c r="A14" s="5">
        <v>355</v>
      </c>
      <c r="B14" s="5">
        <f t="shared" ca="1" si="0"/>
        <v>8.2057213492894965E-2</v>
      </c>
      <c r="C14" s="5">
        <f t="shared" ca="1" si="2"/>
        <v>97</v>
      </c>
      <c r="D14" s="5">
        <f t="shared" ca="1" si="3"/>
        <v>0.84568165140729934</v>
      </c>
      <c r="E14" s="5">
        <f t="shared" ca="1" si="4"/>
        <v>3</v>
      </c>
      <c r="F14" s="5">
        <f t="shared" ca="1" si="5"/>
        <v>94</v>
      </c>
      <c r="G14" s="5">
        <f t="shared" ca="1" si="1"/>
        <v>6</v>
      </c>
      <c r="H14" s="5">
        <f t="shared" ca="1" si="6"/>
        <v>0</v>
      </c>
    </row>
    <row r="15" spans="1:8" x14ac:dyDescent="0.25">
      <c r="A15" s="5">
        <v>356</v>
      </c>
      <c r="B15" s="5">
        <f t="shared" ca="1" si="0"/>
        <v>0.47764603390629123</v>
      </c>
      <c r="C15" s="5">
        <f t="shared" ca="1" si="2"/>
        <v>100</v>
      </c>
      <c r="D15" s="5">
        <f t="shared" ca="1" si="3"/>
        <v>0.1666345807922136</v>
      </c>
      <c r="E15" s="5">
        <f t="shared" ca="1" si="4"/>
        <v>1</v>
      </c>
      <c r="F15" s="5">
        <f t="shared" ca="1" si="5"/>
        <v>99</v>
      </c>
      <c r="G15" s="5">
        <f t="shared" ca="1" si="1"/>
        <v>1</v>
      </c>
      <c r="H15" s="5">
        <f t="shared" ca="1" si="6"/>
        <v>0</v>
      </c>
    </row>
    <row r="16" spans="1:8" x14ac:dyDescent="0.25">
      <c r="A16" s="5">
        <v>357</v>
      </c>
      <c r="B16" s="5">
        <f t="shared" ca="1" si="0"/>
        <v>0.12262461832641502</v>
      </c>
      <c r="C16" s="5">
        <f t="shared" ca="1" si="2"/>
        <v>97</v>
      </c>
      <c r="D16" s="5">
        <f t="shared" ca="1" si="3"/>
        <v>0.49459188753823058</v>
      </c>
      <c r="E16" s="5">
        <f t="shared" ca="1" si="4"/>
        <v>2</v>
      </c>
      <c r="F16" s="5">
        <f t="shared" ca="1" si="5"/>
        <v>95</v>
      </c>
      <c r="G16" s="5">
        <f t="shared" ca="1" si="1"/>
        <v>5</v>
      </c>
      <c r="H16" s="5">
        <f t="shared" ca="1" si="6"/>
        <v>0</v>
      </c>
    </row>
    <row r="17" spans="1:8" x14ac:dyDescent="0.25">
      <c r="A17" s="5">
        <v>358</v>
      </c>
      <c r="B17" s="5">
        <f t="shared" ca="1" si="0"/>
        <v>8.5821101295976421E-3</v>
      </c>
      <c r="C17" s="5">
        <f t="shared" ca="1" si="2"/>
        <v>96</v>
      </c>
      <c r="D17" s="5">
        <f t="shared" ca="1" si="3"/>
        <v>0.49678465252143</v>
      </c>
      <c r="E17" s="5">
        <f t="shared" ca="1" si="4"/>
        <v>2</v>
      </c>
      <c r="F17" s="5">
        <f t="shared" ca="1" si="5"/>
        <v>94</v>
      </c>
      <c r="G17" s="5">
        <f t="shared" ca="1" si="1"/>
        <v>6</v>
      </c>
      <c r="H17" s="5">
        <f t="shared" ca="1" si="6"/>
        <v>0</v>
      </c>
    </row>
    <row r="18" spans="1:8" x14ac:dyDescent="0.25">
      <c r="A18" s="5">
        <v>359</v>
      </c>
      <c r="B18" s="5">
        <f t="shared" ca="1" si="0"/>
        <v>0.79868702387081825</v>
      </c>
      <c r="C18" s="5">
        <f t="shared" ca="1" si="2"/>
        <v>103</v>
      </c>
      <c r="D18" s="5">
        <f t="shared" ca="1" si="3"/>
        <v>0.36713868322278265</v>
      </c>
      <c r="E18" s="5">
        <f t="shared" ca="1" si="4"/>
        <v>2</v>
      </c>
      <c r="F18" s="5">
        <f t="shared" ca="1" si="5"/>
        <v>101</v>
      </c>
      <c r="G18" s="5">
        <f t="shared" ca="1" si="1"/>
        <v>-1</v>
      </c>
      <c r="H18" s="5">
        <f t="shared" ca="1" si="6"/>
        <v>1</v>
      </c>
    </row>
    <row r="19" spans="1:8" x14ac:dyDescent="0.25">
      <c r="A19" s="5">
        <v>360</v>
      </c>
      <c r="B19" s="5">
        <f t="shared" ca="1" si="0"/>
        <v>0.87618123381682633</v>
      </c>
      <c r="C19" s="5">
        <f t="shared" ca="1" si="2"/>
        <v>104</v>
      </c>
      <c r="D19" s="5">
        <f t="shared" ca="1" si="3"/>
        <v>0.20533673336796388</v>
      </c>
      <c r="E19" s="5">
        <f t="shared" ca="1" si="4"/>
        <v>1</v>
      </c>
      <c r="F19" s="5">
        <f t="shared" ca="1" si="5"/>
        <v>103</v>
      </c>
      <c r="G19" s="5">
        <f t="shared" ca="1" si="1"/>
        <v>-3</v>
      </c>
      <c r="H19" s="5">
        <f t="shared" ca="1" si="6"/>
        <v>1</v>
      </c>
    </row>
    <row r="20" spans="1:8" x14ac:dyDescent="0.25">
      <c r="A20" s="5">
        <v>361</v>
      </c>
      <c r="B20" s="5">
        <f t="shared" ca="1" si="0"/>
        <v>0.66895428786491618</v>
      </c>
      <c r="C20" s="5">
        <f t="shared" ca="1" si="2"/>
        <v>102</v>
      </c>
      <c r="D20" s="5">
        <f t="shared" ca="1" si="3"/>
        <v>3.4334457891004311E-3</v>
      </c>
      <c r="E20" s="5">
        <f t="shared" ca="1" si="4"/>
        <v>0</v>
      </c>
      <c r="F20" s="5">
        <f t="shared" ca="1" si="5"/>
        <v>102</v>
      </c>
      <c r="G20" s="5">
        <f t="shared" ca="1" si="1"/>
        <v>-2</v>
      </c>
      <c r="H20" s="5">
        <f t="shared" ca="1" si="6"/>
        <v>1</v>
      </c>
    </row>
    <row r="21" spans="1:8" x14ac:dyDescent="0.25">
      <c r="A21" s="5">
        <v>362</v>
      </c>
      <c r="B21" s="5">
        <f t="shared" ca="1" si="0"/>
        <v>0.64962231657061953</v>
      </c>
      <c r="C21" s="5">
        <f t="shared" ca="1" si="2"/>
        <v>102</v>
      </c>
      <c r="D21" s="5">
        <f t="shared" ca="1" si="3"/>
        <v>0.6369867531581811</v>
      </c>
      <c r="E21" s="5">
        <f t="shared" ca="1" si="4"/>
        <v>3</v>
      </c>
      <c r="F21" s="5">
        <f t="shared" ca="1" si="5"/>
        <v>99</v>
      </c>
      <c r="G21" s="5">
        <f t="shared" ca="1" si="1"/>
        <v>1</v>
      </c>
      <c r="H21" s="5">
        <f t="shared" ca="1" si="6"/>
        <v>0</v>
      </c>
    </row>
    <row r="22" spans="1:8" x14ac:dyDescent="0.25">
      <c r="A22" s="5">
        <v>363</v>
      </c>
      <c r="B22" s="5">
        <f t="shared" ca="1" si="0"/>
        <v>0.95832998568309014</v>
      </c>
      <c r="C22" s="5">
        <f t="shared" ca="1" si="2"/>
        <v>105</v>
      </c>
      <c r="D22" s="5">
        <f t="shared" ca="1" si="3"/>
        <v>0.62300390162256836</v>
      </c>
      <c r="E22" s="5">
        <f t="shared" ca="1" si="4"/>
        <v>3</v>
      </c>
      <c r="F22" s="5">
        <f t="shared" ca="1" si="5"/>
        <v>102</v>
      </c>
      <c r="G22" s="5">
        <f t="shared" ca="1" si="1"/>
        <v>-2</v>
      </c>
      <c r="H22" s="5">
        <f t="shared" ca="1" si="6"/>
        <v>1</v>
      </c>
    </row>
    <row r="23" spans="1:8" x14ac:dyDescent="0.25">
      <c r="A23" s="5">
        <v>364</v>
      </c>
      <c r="B23" s="5">
        <f t="shared" ca="1" si="0"/>
        <v>0.80651301377180351</v>
      </c>
      <c r="C23" s="5">
        <f t="shared" ca="1" si="2"/>
        <v>103</v>
      </c>
      <c r="D23" s="5">
        <f t="shared" ca="1" si="3"/>
        <v>8.4257574578652017E-2</v>
      </c>
      <c r="E23" s="5">
        <f t="shared" ca="1" si="4"/>
        <v>0</v>
      </c>
      <c r="F23" s="5">
        <f t="shared" ca="1" si="5"/>
        <v>103</v>
      </c>
      <c r="G23" s="5">
        <f t="shared" ca="1" si="1"/>
        <v>-3</v>
      </c>
      <c r="H23" s="5">
        <f t="shared" ca="1" si="6"/>
        <v>1</v>
      </c>
    </row>
    <row r="24" spans="1:8" x14ac:dyDescent="0.25">
      <c r="A24" s="5">
        <v>365</v>
      </c>
      <c r="B24" s="5">
        <f t="shared" ca="1" si="0"/>
        <v>0.67812458905490014</v>
      </c>
      <c r="C24" s="5">
        <f t="shared" ca="1" si="2"/>
        <v>102</v>
      </c>
      <c r="D24" s="5">
        <f t="shared" ca="1" si="3"/>
        <v>0.36688256653212081</v>
      </c>
      <c r="E24" s="5">
        <f t="shared" ca="1" si="4"/>
        <v>2</v>
      </c>
      <c r="F24" s="5">
        <f t="shared" ca="1" si="5"/>
        <v>100</v>
      </c>
      <c r="G24" s="5">
        <f t="shared" ca="1" si="1"/>
        <v>0</v>
      </c>
      <c r="H24" s="5">
        <f t="shared" ca="1" si="6"/>
        <v>0</v>
      </c>
    </row>
    <row r="25" spans="1:8" x14ac:dyDescent="0.25">
      <c r="F25" s="10" t="s">
        <v>40</v>
      </c>
      <c r="G25" s="11"/>
      <c r="H25" s="12">
        <f ca="1">SUM(H4:H24)</f>
        <v>9</v>
      </c>
    </row>
    <row r="27" spans="1:8" x14ac:dyDescent="0.25">
      <c r="A27" s="34" t="s">
        <v>42</v>
      </c>
      <c r="B27" s="35"/>
      <c r="C27" s="35"/>
      <c r="D27" s="35"/>
      <c r="E27" s="35"/>
      <c r="F27" s="35"/>
      <c r="G27" s="36"/>
      <c r="H27" s="21">
        <f ca="1">SUMADO()</f>
        <v>92</v>
      </c>
    </row>
    <row r="28" spans="1:8" x14ac:dyDescent="0.25">
      <c r="A28" s="15" t="s">
        <v>25</v>
      </c>
      <c r="B28" s="16"/>
      <c r="C28" s="16" t="s">
        <v>26</v>
      </c>
      <c r="D28" s="16">
        <f ca="1">H27/365</f>
        <v>0.25205479452054796</v>
      </c>
      <c r="E28" s="16"/>
      <c r="F28" s="16" t="s">
        <v>26</v>
      </c>
      <c r="G28" s="16">
        <f ca="1">D28*100</f>
        <v>25.205479452054796</v>
      </c>
      <c r="H28" s="17" t="s">
        <v>43</v>
      </c>
    </row>
    <row r="32" spans="1:8" x14ac:dyDescent="0.25">
      <c r="B32" s="20" t="s">
        <v>44</v>
      </c>
      <c r="C32" s="31" t="s">
        <v>45</v>
      </c>
      <c r="D32" s="32"/>
      <c r="E32" s="33"/>
    </row>
    <row r="33" spans="2:5" x14ac:dyDescent="0.25">
      <c r="B33" s="20"/>
      <c r="C33" s="31" t="s">
        <v>46</v>
      </c>
      <c r="D33" s="32"/>
      <c r="E33" s="33"/>
    </row>
    <row r="34" spans="2:5" x14ac:dyDescent="0.25">
      <c r="B34" s="20"/>
      <c r="C34" s="31" t="s">
        <v>47</v>
      </c>
      <c r="D34" s="32"/>
      <c r="E34" s="33"/>
    </row>
    <row r="35" spans="2:5" x14ac:dyDescent="0.25">
      <c r="B35" s="20" t="s">
        <v>48</v>
      </c>
      <c r="C35" s="31" t="s">
        <v>49</v>
      </c>
      <c r="D35" s="32"/>
      <c r="E35" s="33"/>
    </row>
    <row r="36" spans="2:5" x14ac:dyDescent="0.25">
      <c r="B36" s="20" t="s">
        <v>50</v>
      </c>
      <c r="C36" s="31" t="s">
        <v>51</v>
      </c>
      <c r="D36" s="32"/>
      <c r="E36" s="33"/>
    </row>
  </sheetData>
  <mergeCells count="9">
    <mergeCell ref="C33:E33"/>
    <mergeCell ref="C34:E34"/>
    <mergeCell ref="C35:E35"/>
    <mergeCell ref="C36:E36"/>
    <mergeCell ref="A1:H1"/>
    <mergeCell ref="B2:C2"/>
    <mergeCell ref="D2:E2"/>
    <mergeCell ref="A27:G27"/>
    <mergeCell ref="C32:E32"/>
  </mergeCells>
  <printOptions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INTRODUCCIÓN</vt:lpstr>
      <vt:lpstr>CORRIDA DE S1</vt:lpstr>
      <vt:lpstr>CORRIDA DE S2</vt:lpstr>
      <vt:lpstr>CORRIDA DE S3</vt:lpstr>
      <vt:lpstr>CORRIDA DE S4</vt:lpstr>
      <vt:lpstr>CORRIDA DE S5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MAQUINA</cp:lastModifiedBy>
  <cp:lastPrinted>2015-02-03T12:58:04Z</cp:lastPrinted>
  <dcterms:created xsi:type="dcterms:W3CDTF">2015-01-23T21:03:58Z</dcterms:created>
  <dcterms:modified xsi:type="dcterms:W3CDTF">2015-02-03T13:13:50Z</dcterms:modified>
</cp:coreProperties>
</file>